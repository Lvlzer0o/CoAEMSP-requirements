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ntoncadena/Downloads/"/>
    </mc:Choice>
  </mc:AlternateContent>
  <xr:revisionPtr revIDLastSave="0" documentId="13_ncr:1_{8F744C3C-707E-F645-B74B-8190FF95E123}" xr6:coauthVersionLast="47" xr6:coauthVersionMax="47" xr10:uidLastSave="{00000000-0000-0000-0000-000000000000}"/>
  <bookViews>
    <workbookView xWindow="0" yWindow="660" windowWidth="30240" windowHeight="18980" tabRatio="500" activeTab="4" xr2:uid="{00000000-000D-0000-FFFF-FFFF00000000}"/>
  </bookViews>
  <sheets>
    <sheet name="Age Table 1" sheetId="1" r:id="rId1"/>
    <sheet name="Condition Table 2" sheetId="2" r:id="rId2"/>
    <sheet name="Skills Table 3" sheetId="3" r:id="rId3"/>
    <sheet name="Field Exp-Capstone Table 4" sheetId="4" r:id="rId4"/>
    <sheet name="EMT Skills Table 5" sheetId="5" r:id="rId5"/>
  </sheets>
  <definedNames>
    <definedName name="_xlnm._FilterDatabase" localSheetId="0" hidden="1">'Age Table 1'!$D$10:$D$20</definedName>
    <definedName name="Approvals">OFFSET(#REF!,0,0,29,9)</definedName>
    <definedName name="Rows">OFFSET(#REF!,0,0,(#REF!)+8,45)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3" l="1"/>
  <c r="E28" i="3"/>
  <c r="D28" i="3"/>
  <c r="C28" i="3"/>
  <c r="G28" i="3" s="1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I18" i="3"/>
  <c r="K18" i="3" s="1"/>
  <c r="H18" i="3"/>
  <c r="G18" i="3"/>
  <c r="H17" i="3"/>
  <c r="G17" i="3"/>
  <c r="H16" i="3"/>
  <c r="G16" i="3"/>
  <c r="H15" i="3"/>
  <c r="G15" i="3"/>
  <c r="K14" i="3"/>
  <c r="I14" i="3"/>
  <c r="H14" i="3"/>
  <c r="G14" i="3"/>
  <c r="H13" i="3"/>
  <c r="G13" i="3"/>
  <c r="I12" i="3"/>
  <c r="K12" i="3" s="1"/>
  <c r="H12" i="3"/>
  <c r="H28" i="3" s="1"/>
  <c r="G12" i="3"/>
  <c r="G22" i="2"/>
  <c r="F22" i="2"/>
  <c r="E22" i="2"/>
  <c r="D22" i="2"/>
  <c r="H22" i="2" s="1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3" i="2"/>
  <c r="H13" i="2"/>
  <c r="I12" i="2"/>
  <c r="H12" i="2"/>
  <c r="I11" i="2"/>
  <c r="I22" i="2" s="1"/>
  <c r="H11" i="2"/>
  <c r="F20" i="1"/>
  <c r="E20" i="1"/>
  <c r="D20" i="1"/>
  <c r="C20" i="1"/>
  <c r="H19" i="1"/>
  <c r="G19" i="1"/>
  <c r="G20" i="1" s="1"/>
  <c r="H18" i="1"/>
  <c r="G18" i="1"/>
  <c r="H11" i="1"/>
  <c r="H20" i="1" s="1"/>
  <c r="G11" i="1"/>
</calcChain>
</file>

<file path=xl/sharedStrings.xml><?xml version="1.0" encoding="utf-8"?>
<sst xmlns="http://schemas.openxmlformats.org/spreadsheetml/2006/main" count="196" uniqueCount="123">
  <si>
    <t>Student Minimum Competency
Table 1 Ages</t>
  </si>
  <si>
    <t>Report Name:</t>
  </si>
  <si>
    <t>Goal Set:</t>
  </si>
  <si>
    <t>Student:</t>
  </si>
  <si>
    <t>Date Range:</t>
  </si>
  <si>
    <t>Capstone Date:</t>
  </si>
  <si>
    <t>Created By:</t>
  </si>
  <si>
    <t xml:space="preserve">CoAEMSP 
Student Minimum Competency (SMC) </t>
  </si>
  <si>
    <t>Column 1
Formative Exposure in 
Clinical or Field Experience</t>
  </si>
  <si>
    <t>Column 2
Exposure in Clinical or Field Experience and Capstone Field Internship</t>
  </si>
  <si>
    <t>Total</t>
  </si>
  <si>
    <r>
      <rPr>
        <b/>
        <sz val="14"/>
        <color rgb="FF000000"/>
        <rFont val="Calibri"/>
        <family val="2"/>
        <charset val="1"/>
      </rPr>
      <t>Minimum Recommendations
by Age</t>
    </r>
    <r>
      <rPr>
        <b/>
        <sz val="12"/>
        <color rgb="FF000000"/>
        <rFont val="Calibri"/>
        <family val="2"/>
        <charset val="1"/>
      </rPr>
      <t>*
(*included in the total)</t>
    </r>
  </si>
  <si>
    <t>Conducts patient assessment (primary and secondary assessment), performs motor skills if appropriate and available, and assists with development of a management plan in patient exposures with some assistance for evaluation</t>
  </si>
  <si>
    <t>Conducts a patient assessment and develops a management plan for evaluation on each patient with minimal to no assistance</t>
  </si>
  <si>
    <t>CoA Recommended/Program Minimum</t>
  </si>
  <si>
    <t>Actual Values</t>
  </si>
  <si>
    <t>Pediatric patients with pathologies or complaints</t>
  </si>
  <si>
    <t>Minimum Exposure</t>
  </si>
  <si>
    <t>Age</t>
  </si>
  <si>
    <t>Neonate 
(birth to 30 days)</t>
  </si>
  <si>
    <t>Infant
(1 mo - 12 mos)</t>
  </si>
  <si>
    <t>Toddler 
(1 to 2 years)</t>
  </si>
  <si>
    <t>Preschool 
(3 to 5 years)</t>
  </si>
  <si>
    <t>School-Aged/
Preadolescent
(6 to 12 years)</t>
  </si>
  <si>
    <t>Adolescent 
(13 to 18 years)</t>
  </si>
  <si>
    <t>Adult</t>
  </si>
  <si>
    <t>(19 to 65 years of age)</t>
  </si>
  <si>
    <t>Geriatric</t>
  </si>
  <si>
    <t>(older than 65 years of age)</t>
  </si>
  <si>
    <t>Student Minimum Competency
Table 2 Pathology/Complaint (Conditions)</t>
  </si>
  <si>
    <t>CoAEMSP 
Student Minimum Competency by Pathology or Complaint</t>
  </si>
  <si>
    <t>Simulation</t>
  </si>
  <si>
    <t>Column 2
Exposure in Clinical or Field Experience/Capstone Field Internship</t>
  </si>
  <si>
    <t>Total 
Formative &amp; 
Competency Evaluations 
by Condition 
or Complaint</t>
  </si>
  <si>
    <r>
      <rPr>
        <sz val="10"/>
        <color rgb="FF000000"/>
        <rFont val="Calibri"/>
        <family val="2"/>
        <charset val="1"/>
      </rPr>
      <t xml:space="preserve">Conducts patient assessment (primary and secondary assessment) and performs motor skills if appropriate and available, and assists with development of a management plan on a </t>
    </r>
    <r>
      <rPr>
        <u/>
        <sz val="10"/>
        <color rgb="FF000000"/>
        <rFont val="Calibri"/>
        <family val="2"/>
        <charset val="1"/>
      </rPr>
      <t>patient</t>
    </r>
    <r>
      <rPr>
        <sz val="10"/>
        <color rgb="FF000000"/>
        <rFont val="Calibri"/>
        <family val="2"/>
        <charset val="1"/>
      </rPr>
      <t xml:space="preserve"> with some assistance for evaluation.</t>
    </r>
  </si>
  <si>
    <t>Trauma</t>
  </si>
  <si>
    <t>Minimum of one (1) pediatric and one (1) adult trauma simulated scenario must be successfully completed prior 
to capstone field internship.</t>
  </si>
  <si>
    <t>Psychiatric/
Behavioral</t>
  </si>
  <si>
    <t>Minimum of one (1) psychiatric simulated scenario must be 
successfully completed prior to capstone field internship.</t>
  </si>
  <si>
    <t>Obstetric delivery 
with normal newborn care
(simulation permitted)</t>
  </si>
  <si>
    <t>N/A</t>
  </si>
  <si>
    <t>Complicated obstetric delivery
(simulation permitted)
(e.g., breech, prolapsed cord, shoulder dystocia, precipitous delivery, multiple births, meconium staining, premature birth, abnormal presentation, postpartum hemorrhage)</t>
  </si>
  <si>
    <t>Minimum of two (2) complicated obstetric delivery simulated scenarios must be successfully completed prior to capstone field internship including a prolapsed cord and a breech delivery.</t>
  </si>
  <si>
    <t>Distressed neonate 
(birth to 30 days)
(simulation permitted)</t>
  </si>
  <si>
    <t>Minimum of one (1) distressed neonate following delivery simulated scenario must be successfully completed prior to capstone field internship.</t>
  </si>
  <si>
    <t>Cardiac pathologies or complaints 
(e.g., acute coronary syndrome, cardiac chest pain)</t>
  </si>
  <si>
    <t>Minimum of one (1) cardiac-related chest pain simulated scenario must be successfully completed prior to capstone field internship.</t>
  </si>
  <si>
    <t>Cardiac arrest
(simulation permitted)</t>
  </si>
  <si>
    <t>Minimum of one (1) cardiac arrest simulated scenario must be 
successfully completed prior to capstone field internship.</t>
  </si>
  <si>
    <t>Cardiac dysrhythmias</t>
  </si>
  <si>
    <r>
      <rPr>
        <b/>
        <sz val="11"/>
        <color rgb="FF000000"/>
        <rFont val="Calibri"/>
        <family val="2"/>
        <charset val="1"/>
      </rPr>
      <t xml:space="preserve">Medical neurologic pathologies or complaints
</t>
    </r>
    <r>
      <rPr>
        <sz val="10"/>
        <color rgb="FF000000"/>
        <rFont val="Calibri"/>
        <family val="2"/>
        <charset val="1"/>
      </rPr>
      <t>(e.g., transient ischemic attack, stroke, syncope, or altered mental status presentation)</t>
    </r>
  </si>
  <si>
    <t>Minimum of one (1) geriatric stroke simulated scenario must be 
successfully completed prior to capstone field internship.</t>
  </si>
  <si>
    <r>
      <rPr>
        <b/>
        <sz val="11"/>
        <color rgb="FF000000"/>
        <rFont val="Calibri"/>
        <family val="2"/>
        <charset val="1"/>
      </rPr>
      <t xml:space="preserve">Respiratory pathologies or complaints
</t>
    </r>
    <r>
      <rPr>
        <sz val="10"/>
        <color rgb="FF000000"/>
        <rFont val="Calibri"/>
        <family val="2"/>
        <charset val="1"/>
      </rPr>
      <t>(e.g., respiratory distress, respiratory failure, respiratory arrest, acute asthma episode, lower respiratory infection)</t>
    </r>
  </si>
  <si>
    <t>Minimum of one (1) pediatric and 
one (1) geriatric respiratory distress/failure simulated scenario 
must be successfully completed prior 
to capstone field internship.</t>
  </si>
  <si>
    <r>
      <rPr>
        <b/>
        <sz val="11"/>
        <color rgb="FF000000"/>
        <rFont val="Calibri"/>
        <family val="2"/>
        <charset val="1"/>
      </rPr>
      <t xml:space="preserve">Other medical conditions or complaints
</t>
    </r>
    <r>
      <rPr>
        <sz val="10"/>
        <color rgb="FF000000"/>
        <rFont val="Calibri"/>
        <family val="2"/>
        <charset val="1"/>
      </rPr>
      <t>(e.g., gastrointestinal, genitourinary, gynecologic, reproductive pathologies, or abdominal pain complaints, infectious disease, endocrine disorders or complaints [hypoglycemia, DKA, HHNS, thyrotoxic crisis, myxedema, Addison's, Cushing's], overdose or substance abuse, toxicology, hematologic disorders, non-traumatic musculoskeletal disorders, diseases of the eyes, ears, nose, and throat)</t>
    </r>
  </si>
  <si>
    <t>Minimum of one (1) geriatric sepsis simulated scenario must be 
successfully completed prior to capstone field internship.</t>
  </si>
  <si>
    <t>Totals:</t>
  </si>
  <si>
    <t>Student Minimum Competency
Table 3 Skills</t>
  </si>
  <si>
    <t>CoAEMSP 
Recommended Motor Skills 
Assessed and Success</t>
  </si>
  <si>
    <r>
      <rPr>
        <b/>
        <sz val="12"/>
        <color rgb="FF000000"/>
        <rFont val="Calibri"/>
        <family val="2"/>
        <charset val="1"/>
      </rPr>
      <t xml:space="preserve">Column 1
Successful Formative Individual </t>
    </r>
    <r>
      <rPr>
        <b/>
        <i/>
        <sz val="12"/>
        <color rgb="FF000000"/>
        <rFont val="Calibri"/>
        <family val="2"/>
        <charset val="1"/>
      </rPr>
      <t>Simulated</t>
    </r>
    <r>
      <rPr>
        <b/>
        <sz val="12"/>
        <color rgb="FF000000"/>
        <rFont val="Calibri"/>
        <family val="2"/>
        <charset val="1"/>
      </rPr>
      <t xml:space="preserve"> 
Motor Skills Assessed in the Lab</t>
    </r>
  </si>
  <si>
    <r>
      <rPr>
        <b/>
        <sz val="12"/>
        <color rgb="FF000000"/>
        <rFont val="Calibri"/>
        <family val="2"/>
        <charset val="1"/>
      </rPr>
      <t xml:space="preserve">Column 2
Minimum Successful Motor Skills Assessed on a </t>
    </r>
    <r>
      <rPr>
        <b/>
        <i/>
        <sz val="12"/>
        <color rgb="FF000000"/>
        <rFont val="Calibri"/>
        <family val="2"/>
        <charset val="1"/>
      </rPr>
      <t>Patient</t>
    </r>
    <r>
      <rPr>
        <b/>
        <sz val="12"/>
        <color rgb="FF000000"/>
        <rFont val="Calibri"/>
        <family val="2"/>
        <charset val="1"/>
      </rPr>
      <t xml:space="preserve"> in Clinical or Field Experience or Capstone Field Internship</t>
    </r>
  </si>
  <si>
    <t>Totals</t>
  </si>
  <si>
    <r>
      <rPr>
        <b/>
        <sz val="12"/>
        <color rgb="FF000000"/>
        <rFont val="Calibri"/>
        <family val="2"/>
        <charset val="1"/>
      </rPr>
      <t xml:space="preserve">Column 4
Cumulative Motor Skill Competency Assessed on </t>
    </r>
    <r>
      <rPr>
        <b/>
        <i/>
        <sz val="12"/>
        <color rgb="FF000000"/>
        <rFont val="Calibri"/>
        <family val="2"/>
        <charset val="1"/>
      </rPr>
      <t>Patients</t>
    </r>
    <r>
      <rPr>
        <b/>
        <sz val="12"/>
        <color rgb="FF000000"/>
        <rFont val="Calibri"/>
        <family val="2"/>
        <charset val="1"/>
      </rPr>
      <t xml:space="preserve"> During Clinical or Field Experience or Capstone Field Internship</t>
    </r>
  </si>
  <si>
    <t xml:space="preserve"> *Simulation permitted for skills with asterisk</t>
  </si>
  <si>
    <t>Successful Attempts</t>
  </si>
  <si>
    <t>Total Number of Attempts</t>
  </si>
  <si>
    <t>Success Rate</t>
  </si>
  <si>
    <t>Establish IV access</t>
  </si>
  <si>
    <t>Administer IV infusion medication*</t>
  </si>
  <si>
    <t>Administer IV bolus medication</t>
  </si>
  <si>
    <t>Administer IM injection</t>
  </si>
  <si>
    <t>Establish IO access*</t>
  </si>
  <si>
    <t>Perform PPV with BVM*</t>
  </si>
  <si>
    <t>Perform oral endotracheal intubation*</t>
  </si>
  <si>
    <t>Perform endotracheal suctioning*</t>
  </si>
  <si>
    <t>Perform FBAO removal using McGill Forceps*</t>
  </si>
  <si>
    <t>Perform cricothyrotomy*</t>
  </si>
  <si>
    <t>Insert supraglottic airway*</t>
  </si>
  <si>
    <t>Perform needle decompression of the chest*</t>
  </si>
  <si>
    <t>Perform synchronized cardioversion*</t>
  </si>
  <si>
    <t>Perform defibrillation*</t>
  </si>
  <si>
    <t>Perform transcutaneous pacing*</t>
  </si>
  <si>
    <t>Perform chest compressions*</t>
  </si>
  <si>
    <t>Student Minimum Competency
Table 4 Field Experience / Capstone Field Internship</t>
  </si>
  <si>
    <t>Field Experience</t>
  </si>
  <si>
    <t>Capstone Field Internship</t>
  </si>
  <si>
    <r>
      <rPr>
        <sz val="12"/>
        <color rgb="FF000000"/>
        <rFont val="Calibri"/>
        <family val="2"/>
        <charset val="1"/>
      </rPr>
      <t xml:space="preserve">Conducts competent assessment and management of prehospital 
patients with assistance while </t>
    </r>
    <r>
      <rPr>
        <b/>
        <sz val="12"/>
        <color rgb="FF0070C0"/>
        <rFont val="Calibri"/>
        <family val="2"/>
        <charset val="1"/>
      </rPr>
      <t>TEAM LEADER</t>
    </r>
    <r>
      <rPr>
        <sz val="12"/>
        <color rgb="FF0070C0"/>
        <rFont val="Calibri"/>
        <family val="2"/>
        <charset val="1"/>
      </rPr>
      <t xml:space="preserve"> </t>
    </r>
    <r>
      <rPr>
        <i/>
        <sz val="12"/>
        <color rgb="FF000000"/>
        <rFont val="Calibri"/>
        <family val="2"/>
        <charset val="1"/>
      </rPr>
      <t>or</t>
    </r>
    <r>
      <rPr>
        <sz val="12"/>
        <color rgb="FF000000"/>
        <rFont val="Calibri"/>
        <family val="2"/>
        <charset val="1"/>
      </rPr>
      <t xml:space="preserve"> </t>
    </r>
    <r>
      <rPr>
        <b/>
        <sz val="12"/>
        <color rgb="FF0070C0"/>
        <rFont val="Calibri"/>
        <family val="2"/>
        <charset val="1"/>
      </rPr>
      <t>TEAM MEMBER</t>
    </r>
  </si>
  <si>
    <r>
      <rPr>
        <sz val="12"/>
        <color rgb="FF000000"/>
        <rFont val="Calibri"/>
        <family val="2"/>
        <charset val="1"/>
      </rPr>
      <t xml:space="preserve">Successfully manages the scene, performs patient assessment(s), directs medical care and transport as </t>
    </r>
    <r>
      <rPr>
        <b/>
        <sz val="12"/>
        <color rgb="FF0070C0"/>
        <rFont val="Calibri"/>
        <family val="2"/>
        <charset val="1"/>
      </rPr>
      <t>TEAM LEADER</t>
    </r>
    <r>
      <rPr>
        <sz val="12"/>
        <color rgb="FF000000"/>
        <rFont val="Calibri"/>
        <family val="2"/>
        <charset val="1"/>
      </rPr>
      <t xml:space="preserve"> with 
minimal to no assistance</t>
    </r>
  </si>
  <si>
    <t>Student Minimum Competency
Table 5 EMT Skills Competency</t>
  </si>
  <si>
    <t>Created BY:</t>
  </si>
  <si>
    <r>
      <rPr>
        <b/>
        <sz val="14"/>
        <color rgb="FF000000"/>
        <rFont val="Calibri"/>
        <family val="2"/>
        <charset val="1"/>
      </rPr>
      <t xml:space="preserve">EMT or Prerequisite Skill Competency
</t>
    </r>
    <r>
      <rPr>
        <sz val="10"/>
        <color rgb="FF000000"/>
        <rFont val="Calibri"/>
        <family val="2"/>
        <charset val="1"/>
      </rPr>
      <t>(must document reasonable evidence of motor skill competency)</t>
    </r>
  </si>
  <si>
    <t>Program Minimum</t>
  </si>
  <si>
    <t>Insert NPA</t>
  </si>
  <si>
    <t>Insert OPA</t>
  </si>
  <si>
    <t>Perform oral suctioning</t>
  </si>
  <si>
    <t>Perform FBAO - adult</t>
  </si>
  <si>
    <t>Perform FBAO - infant</t>
  </si>
  <si>
    <t>Administer oxygen by nasal cannula</t>
  </si>
  <si>
    <t>Administer oxygen by face mask</t>
  </si>
  <si>
    <t>Ventilate an adult patient with a BVM</t>
  </si>
  <si>
    <t>Ventilate a pediatric patient with a BVM</t>
  </si>
  <si>
    <t>Ventilate a neonate patient with a BVM</t>
  </si>
  <si>
    <t>Apply a tourniquet</t>
  </si>
  <si>
    <t>Apply a cervical collar</t>
  </si>
  <si>
    <t>Perform spine motion restriction</t>
  </si>
  <si>
    <t>Lift and transfer a patient to the stretcher</t>
  </si>
  <si>
    <t>Splint a suspected long bone injury</t>
  </si>
  <si>
    <t>Splint a suspected joint injury</t>
  </si>
  <si>
    <t>Stabilize an impaled object</t>
  </si>
  <si>
    <t>Dress and bandage a soft tissue injury</t>
  </si>
  <si>
    <t>Apply an occlusive dressing to an open wound to the thorax</t>
  </si>
  <si>
    <t>Perform uncomplicated delivery</t>
  </si>
  <si>
    <t>Assess vital signs</t>
  </si>
  <si>
    <t>Perform a Comprehensive Physical Assessment</t>
  </si>
  <si>
    <t>Perform CPR - adult</t>
  </si>
  <si>
    <t>Perform CPR - pediatric</t>
  </si>
  <si>
    <t>Perform CPR - neonate</t>
  </si>
  <si>
    <t>CoAEMSP Student Minimum Competency (SMC) Recommendations</t>
  </si>
  <si>
    <t>New SMC Template</t>
  </si>
  <si>
    <t>Trenton Cadena</t>
  </si>
  <si>
    <t>All Dates</t>
  </si>
  <si>
    <t>03/31/2026</t>
  </si>
  <si>
    <t>Cadena, Trenton on 12/01/2025 at 09:08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</si>
</sst>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24"/>
      <color rgb="FFFFFFFF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70C0"/>
      <name val="Calibri"/>
      <family val="2"/>
      <charset val="1"/>
    </font>
    <font>
      <u/>
      <sz val="10"/>
      <color rgb="FF000000"/>
      <name val="Calibri"/>
      <family val="2"/>
      <charset val="1"/>
    </font>
    <font>
      <b/>
      <sz val="10"/>
      <color rgb="FF0070C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8"/>
      <name val="Calibri"/>
      <family val="2"/>
      <charset val="1"/>
    </font>
    <font>
      <sz val="12"/>
      <name val="Calibri"/>
      <family val="2"/>
      <charset val="1"/>
    </font>
    <font>
      <b/>
      <sz val="14"/>
      <name val="Calibri"/>
      <family val="2"/>
      <charset val="1"/>
    </font>
    <font>
      <b/>
      <sz val="12"/>
      <color rgb="FF0070C0"/>
      <name val="Calibri"/>
      <family val="2"/>
      <charset val="1"/>
    </font>
    <font>
      <sz val="12"/>
      <color rgb="FF0070C0"/>
      <name val="Calibri"/>
      <family val="2"/>
      <charset val="1"/>
    </font>
    <font>
      <i/>
      <sz val="12"/>
      <color rgb="FF000000"/>
      <name val="Calibri"/>
      <family val="2"/>
      <charset val="1"/>
    </font>
    <font>
      <sz val="11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C55A11"/>
        <bgColor rgb="FF806000"/>
      </patternFill>
    </fill>
    <fill>
      <patternFill patternType="solid">
        <fgColor rgb="FFFBE5D6"/>
        <bgColor rgb="FFFFF2CC"/>
      </patternFill>
    </fill>
    <fill>
      <patternFill patternType="solid">
        <fgColor rgb="FFBDD7EE"/>
        <bgColor rgb="FFD6DCE4"/>
      </patternFill>
    </fill>
    <fill>
      <patternFill patternType="solid">
        <fgColor rgb="FFF8CBAD"/>
        <bgColor rgb="FFFFC7CE"/>
      </patternFill>
    </fill>
    <fill>
      <patternFill patternType="solid">
        <fgColor rgb="FFEFF6FB"/>
        <bgColor rgb="FFFFFFFF"/>
      </patternFill>
    </fill>
    <fill>
      <patternFill patternType="solid">
        <fgColor rgb="FFF4B183"/>
        <bgColor rgb="FFF8CBAD"/>
      </patternFill>
    </fill>
    <fill>
      <patternFill patternType="solid">
        <fgColor rgb="FF548235"/>
        <bgColor rgb="FF595959"/>
      </patternFill>
    </fill>
    <fill>
      <patternFill patternType="solid">
        <fgColor rgb="FFE2F0D9"/>
        <bgColor rgb="FFEFF6FB"/>
      </patternFill>
    </fill>
    <fill>
      <patternFill patternType="solid">
        <fgColor rgb="FFC5E0B4"/>
        <bgColor rgb="FFC6EFCE"/>
      </patternFill>
    </fill>
    <fill>
      <patternFill patternType="solid">
        <fgColor rgb="FF806000"/>
        <bgColor rgb="FF595959"/>
      </patternFill>
    </fill>
    <fill>
      <patternFill patternType="solid">
        <fgColor rgb="FFFFF2CC"/>
        <bgColor rgb="FFFBE5D6"/>
      </patternFill>
    </fill>
    <fill>
      <patternFill patternType="solid">
        <fgColor rgb="FFFFE699"/>
        <bgColor rgb="FFFFF2CC"/>
      </patternFill>
    </fill>
    <fill>
      <patternFill patternType="solid">
        <fgColor rgb="FF990033"/>
        <bgColor rgb="FF9C0006"/>
      </patternFill>
    </fill>
    <fill>
      <patternFill patternType="solid">
        <fgColor rgb="FFFFB8CF"/>
        <bgColor rgb="FFFFC7CE"/>
      </patternFill>
    </fill>
    <fill>
      <patternFill patternType="solid">
        <fgColor rgb="FFD0CECE"/>
        <bgColor rgb="FFD6DCE4"/>
      </patternFill>
    </fill>
    <fill>
      <patternFill patternType="solid">
        <fgColor rgb="FFFF81AB"/>
        <bgColor rgb="FFF4B183"/>
      </patternFill>
    </fill>
    <fill>
      <patternFill patternType="solid">
        <fgColor rgb="FF595959"/>
        <bgColor rgb="FF548235"/>
      </patternFill>
    </fill>
    <fill>
      <patternFill patternType="solid">
        <fgColor rgb="FFD6DCE4"/>
        <bgColor rgb="FFD0CECE"/>
      </patternFill>
    </fill>
    <fill>
      <patternFill patternType="solid">
        <fgColor rgb="FFACB9CA"/>
        <bgColor rgb="FFAEAAAA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xfId="0"/>
    <xf numFmtId="0" fontId="4" fillId="4" borderId="2" xfId="0" applyFont="1" applyFill="1" applyBorder="1" applyAlignment="1" applyProtection="1">
      <alignment horizontal="center" vertic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3" fillId="6" borderId="7" xfId="0" applyFont="1" applyFill="1" applyBorder="1" applyAlignment="1" applyProtection="1">
      <alignment horizontal="left" vertical="center" wrapText="1"/>
      <protection locked="0"/>
    </xf>
    <xf numFmtId="0" fontId="5" fillId="5" borderId="3" xfId="0" applyFont="1" applyFill="1" applyBorder="1" applyAlignment="1" applyProtection="1">
      <alignment horizontal="center" vertical="center" wrapText="1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 applyProtection="1">
      <alignment horizontal="left" vertical="center" wrapText="1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0" fontId="0" fillId="3" borderId="2" xfId="0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0" fillId="4" borderId="7" xfId="0" applyFill="1" applyBorder="1" applyAlignment="1" applyProtection="1">
      <alignment horizontal="center" vertical="center" wrapText="1"/>
      <protection locked="0"/>
    </xf>
    <xf numFmtId="0" fontId="5" fillId="5" borderId="4" xfId="0" applyFont="1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9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6" fillId="6" borderId="7" xfId="0" applyFont="1" applyFill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center" vertical="center"/>
      <protection locked="0"/>
    </xf>
    <xf numFmtId="0" fontId="6" fillId="6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  <protection locked="0"/>
    </xf>
    <xf numFmtId="0" fontId="8" fillId="4" borderId="7" xfId="0" applyFont="1" applyFill="1" applyBorder="1" applyAlignment="1" applyProtection="1">
      <alignment horizontal="center" vertical="center"/>
      <protection locked="0"/>
    </xf>
    <xf numFmtId="0" fontId="8" fillId="7" borderId="10" xfId="0" applyFont="1" applyFill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  <protection locked="0"/>
    </xf>
    <xf numFmtId="0" fontId="8" fillId="4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6" fillId="4" borderId="10" xfId="0" applyFont="1" applyFill="1" applyBorder="1"/>
    <xf numFmtId="0" fontId="6" fillId="4" borderId="11" xfId="0" applyFont="1" applyFill="1" applyBorder="1"/>
    <xf numFmtId="0" fontId="8" fillId="4" borderId="11" xfId="0" applyFont="1" applyFill="1" applyBorder="1" applyAlignment="1">
      <alignment horizontal="right" vertical="center"/>
    </xf>
    <xf numFmtId="0" fontId="8" fillId="4" borderId="10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0" borderId="0" xfId="0" applyFont="1"/>
    <xf numFmtId="0" fontId="7" fillId="4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7" fillId="13" borderId="8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 shrinkToFit="1"/>
    </xf>
    <xf numFmtId="0" fontId="14" fillId="4" borderId="15" xfId="0" applyFont="1" applyFill="1" applyBorder="1" applyAlignment="1">
      <alignment horizontal="center" vertical="center" wrapText="1" shrinkToFit="1"/>
    </xf>
    <xf numFmtId="0" fontId="14" fillId="13" borderId="4" xfId="0" applyFont="1" applyFill="1" applyBorder="1" applyAlignment="1">
      <alignment horizontal="center" vertical="center" wrapText="1" shrinkToFit="1"/>
    </xf>
    <xf numFmtId="0" fontId="14" fillId="13" borderId="3" xfId="0" applyFont="1" applyFill="1" applyBorder="1" applyAlignment="1">
      <alignment horizontal="center" vertical="center" wrapText="1" shrinkToFit="1"/>
    </xf>
    <xf numFmtId="0" fontId="14" fillId="4" borderId="1" xfId="0" applyFont="1" applyFill="1" applyBorder="1" applyAlignment="1">
      <alignment horizontal="center" vertical="center" wrapText="1" shrinkToFit="1"/>
    </xf>
    <xf numFmtId="0" fontId="7" fillId="13" borderId="7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vertical="center" wrapText="1"/>
    </xf>
    <xf numFmtId="0" fontId="5" fillId="16" borderId="0" xfId="0" applyFont="1" applyFill="1" applyAlignment="1">
      <alignment vertical="center" wrapText="1"/>
    </xf>
    <xf numFmtId="0" fontId="5" fillId="16" borderId="14" xfId="0" applyFont="1" applyFill="1" applyBorder="1" applyAlignment="1">
      <alignment vertical="center" wrapText="1"/>
    </xf>
    <xf numFmtId="0" fontId="5" fillId="17" borderId="5" xfId="0" applyFont="1" applyFill="1" applyBorder="1" applyAlignment="1">
      <alignment vertical="center" wrapText="1"/>
    </xf>
    <xf numFmtId="0" fontId="5" fillId="17" borderId="0" xfId="0" applyFont="1" applyFill="1" applyAlignment="1">
      <alignment vertical="center" wrapText="1"/>
    </xf>
    <xf numFmtId="0" fontId="5" fillId="17" borderId="14" xfId="0" applyFont="1" applyFill="1" applyBorder="1" applyAlignment="1">
      <alignment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 applyProtection="1">
      <alignment vertical="center" wrapText="1"/>
      <protection locked="0"/>
    </xf>
    <xf numFmtId="0" fontId="2" fillId="8" borderId="0" xfId="0" applyFont="1" applyFill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justify" vertical="center" wrapText="1"/>
    </xf>
    <xf numFmtId="0" fontId="7" fillId="6" borderId="2" xfId="0" applyFont="1" applyFill="1" applyBorder="1" applyAlignment="1">
      <alignment horizontal="justify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justify" vertical="center" wrapText="1"/>
    </xf>
    <xf numFmtId="0" fontId="2" fillId="11" borderId="0" xfId="0" applyFont="1" applyFill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/>
    </xf>
    <xf numFmtId="9" fontId="4" fillId="12" borderId="9" xfId="0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left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8" fillId="16" borderId="12" xfId="0" applyFont="1" applyFill="1" applyBorder="1" applyAlignment="1">
      <alignment horizontal="center" vertical="center" wrapText="1"/>
    </xf>
    <xf numFmtId="0" fontId="8" fillId="17" borderId="12" xfId="0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left" vertical="center" wrapText="1"/>
    </xf>
    <xf numFmtId="0" fontId="3" fillId="20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wrapText="1"/>
    </xf>
    <xf numFmtId="0" fontId="4" fillId="6" borderId="16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06000000}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000"/>
      <rgbColor rgb="FF800080"/>
      <rgbColor rgb="FF008080"/>
      <rgbColor rgb="FFACB9CA"/>
      <rgbColor rgb="FF808080"/>
      <rgbColor rgb="FFD6DCE4"/>
      <rgbColor rgb="FF993366"/>
      <rgbColor rgb="FFFFF2CC"/>
      <rgbColor rgb="FFEFF6FB"/>
      <rgbColor rgb="FF660066"/>
      <rgbColor rgb="FFFF81AB"/>
      <rgbColor rgb="FF0070C0"/>
      <rgbColor rgb="FFBDD7EE"/>
      <rgbColor rgb="FF000080"/>
      <rgbColor rgb="FFFF00FF"/>
      <rgbColor rgb="FFFFFF00"/>
      <rgbColor rgb="FF00FFFF"/>
      <rgbColor rgb="FF800080"/>
      <rgbColor rgb="FF990033"/>
      <rgbColor rgb="FF008080"/>
      <rgbColor rgb="FF0000FF"/>
      <rgbColor rgb="FF00CCFF"/>
      <rgbColor rgb="FFE2F0D9"/>
      <rgbColor rgb="FFC6EFCE"/>
      <rgbColor rgb="FFFFE699"/>
      <rgbColor rgb="FFD0CECE"/>
      <rgbColor rgb="FFFFB8CF"/>
      <rgbColor rgb="FFFFC7CE"/>
      <rgbColor rgb="FFF8CBAD"/>
      <rgbColor rgb="FF3366FF"/>
      <rgbColor rgb="FF33CCCC"/>
      <rgbColor rgb="FFC5E0B4"/>
      <rgbColor rgb="FFFBE5D6"/>
      <rgbColor rgb="FFF4B183"/>
      <rgbColor rgb="FFC55A11"/>
      <rgbColor rgb="FF595959"/>
      <rgbColor rgb="FFAEAAAA"/>
      <rgbColor rgb="FF003366"/>
      <rgbColor rgb="FF548235"/>
      <rgbColor rgb="FF003300"/>
      <rgbColor rgb="FF333300"/>
      <rgbColor rgb="FFC00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9D9892-C02D-B643-A090-37C263261E69}">
  <we:reference id="wa200000113" version="1.0.0.0" store="en-US" storeType="OMEX"/>
  <we:alternateReferences>
    <we:reference id="WA200000113" version="1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8CBAD"/>
  </sheetPr>
  <dimension ref="A1:L20"/>
  <sheetViews>
    <sheetView topLeftCell="A10" zoomScale="70" zoomScaleNormal="70" workbookViewId="0">
      <selection activeCell="E18" sqref="E18"/>
    </sheetView>
  </sheetViews>
  <sheetFormatPr baseColWidth="10" defaultColWidth="8.6640625" defaultRowHeight="15" x14ac:dyDescent="0.2"/>
  <cols>
    <col min="2" max="2" width="18.33203125" customWidth="1" collapsed="1"/>
    <col min="3" max="3" width="18.5" customWidth="1" collapsed="1"/>
    <col min="4" max="4" width="17.33203125" customWidth="1" collapsed="1"/>
    <col min="5" max="5" width="18.33203125" customWidth="1" collapsed="1"/>
    <col min="6" max="6" width="17.6640625" customWidth="1" collapsed="1"/>
    <col min="7" max="7" width="16.33203125" customWidth="1" collapsed="1"/>
    <col min="8" max="8" width="16.5" customWidth="1" collapsed="1"/>
    <col min="9" max="9" width="11.33203125" customWidth="1" collapsed="1"/>
    <col min="10" max="11" width="6.83203125" customWidth="1" collapsed="1"/>
  </cols>
  <sheetData>
    <row r="1" spans="1:12" ht="66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4.75" customHeight="1" x14ac:dyDescent="0.2">
      <c r="A2" s="13" t="s">
        <v>1</v>
      </c>
      <c r="B2" s="13"/>
      <c r="C2" s="12" t="s">
        <v>117</v>
      </c>
      <c r="D2" s="12"/>
      <c r="E2" s="12"/>
      <c r="F2" s="12"/>
      <c r="G2" s="12"/>
      <c r="H2" s="12"/>
      <c r="I2" s="12"/>
      <c r="J2" s="12"/>
      <c r="K2" s="12"/>
      <c r="L2" s="12"/>
    </row>
    <row r="3" spans="1:12" ht="24.75" customHeight="1" x14ac:dyDescent="0.2">
      <c r="A3" s="13" t="s">
        <v>2</v>
      </c>
      <c r="B3" s="13"/>
      <c r="C3" s="12" t="s">
        <v>118</v>
      </c>
      <c r="D3" s="12"/>
      <c r="E3" s="12"/>
      <c r="F3" s="12"/>
      <c r="G3" s="12"/>
      <c r="H3" s="12"/>
      <c r="I3" s="12"/>
      <c r="J3" s="12"/>
      <c r="K3" s="12"/>
      <c r="L3" s="12"/>
    </row>
    <row r="4" spans="1:12" ht="24.75" customHeight="1" x14ac:dyDescent="0.2">
      <c r="A4" s="13" t="s">
        <v>3</v>
      </c>
      <c r="B4" s="13"/>
      <c r="C4" s="11" t="s">
        <v>119</v>
      </c>
      <c r="D4" s="11"/>
      <c r="E4" s="11"/>
      <c r="F4" s="11"/>
      <c r="G4" s="11"/>
      <c r="H4" s="11"/>
      <c r="I4" s="11"/>
      <c r="J4" s="11"/>
      <c r="K4" s="11"/>
      <c r="L4" s="11"/>
    </row>
    <row r="5" spans="1:12" ht="24.75" customHeight="1" x14ac:dyDescent="0.2">
      <c r="A5" s="13" t="s">
        <v>4</v>
      </c>
      <c r="B5" s="13"/>
      <c r="C5" s="11" t="s">
        <v>120</v>
      </c>
      <c r="D5" s="11"/>
      <c r="E5" s="11"/>
      <c r="F5" s="11"/>
      <c r="G5" s="11"/>
      <c r="H5" s="11"/>
      <c r="I5" s="11"/>
      <c r="J5" s="11"/>
      <c r="K5" s="11"/>
      <c r="L5" s="11"/>
    </row>
    <row r="6" spans="1:12" ht="24.75" customHeight="1" x14ac:dyDescent="0.2">
      <c r="A6" s="13" t="s">
        <v>5</v>
      </c>
      <c r="B6" s="13"/>
      <c r="C6" s="11" t="s">
        <v>121</v>
      </c>
      <c r="D6" s="11"/>
      <c r="E6" s="11"/>
      <c r="F6" s="11"/>
      <c r="G6" s="11"/>
      <c r="H6" s="11"/>
      <c r="I6" s="11"/>
      <c r="J6" s="11"/>
      <c r="K6" s="11"/>
      <c r="L6" s="11"/>
    </row>
    <row r="7" spans="1:12" ht="24.75" customHeight="1" x14ac:dyDescent="0.2">
      <c r="A7" s="13" t="s">
        <v>6</v>
      </c>
      <c r="B7" s="13"/>
      <c r="C7" s="11" t="s">
        <v>122</v>
      </c>
      <c r="D7" s="11"/>
      <c r="E7" s="11"/>
      <c r="F7" s="11"/>
      <c r="G7" s="11"/>
      <c r="H7" s="11"/>
      <c r="I7" s="11"/>
      <c r="J7" s="11"/>
      <c r="K7" s="11"/>
      <c r="L7" s="11"/>
    </row>
    <row r="8" spans="1:12" ht="97.5" customHeight="1" x14ac:dyDescent="0.2">
      <c r="A8" s="10" t="s">
        <v>7</v>
      </c>
      <c r="B8" s="10"/>
      <c r="C8" s="9" t="s">
        <v>8</v>
      </c>
      <c r="D8" s="9"/>
      <c r="E8" s="8" t="s">
        <v>9</v>
      </c>
      <c r="F8" s="8"/>
      <c r="G8" s="7" t="s">
        <v>10</v>
      </c>
      <c r="H8" s="7"/>
      <c r="I8" s="7" t="s">
        <v>11</v>
      </c>
      <c r="J8" s="7"/>
      <c r="K8" s="7"/>
      <c r="L8" s="7"/>
    </row>
    <row r="9" spans="1:12" ht="51.75" customHeight="1" x14ac:dyDescent="0.2">
      <c r="A9" s="10"/>
      <c r="B9" s="10"/>
      <c r="C9" s="6" t="s">
        <v>12</v>
      </c>
      <c r="D9" s="6"/>
      <c r="E9" s="5" t="s">
        <v>13</v>
      </c>
      <c r="F9" s="5"/>
      <c r="G9" s="7"/>
      <c r="H9" s="7"/>
      <c r="I9" s="7"/>
      <c r="J9" s="7"/>
      <c r="K9" s="7"/>
      <c r="L9" s="7"/>
    </row>
    <row r="10" spans="1:12" ht="60" customHeight="1" x14ac:dyDescent="0.2">
      <c r="A10" s="10"/>
      <c r="B10" s="10"/>
      <c r="C10" s="17" t="s">
        <v>14</v>
      </c>
      <c r="D10" s="18" t="s">
        <v>15</v>
      </c>
      <c r="E10" s="19" t="s">
        <v>14</v>
      </c>
      <c r="F10" s="20" t="s">
        <v>15</v>
      </c>
      <c r="G10" s="21" t="s">
        <v>14</v>
      </c>
      <c r="H10" s="21" t="s">
        <v>15</v>
      </c>
      <c r="I10" s="15"/>
      <c r="J10" s="22"/>
      <c r="K10" s="22"/>
      <c r="L10" s="16"/>
    </row>
    <row r="11" spans="1:12" ht="32.25" customHeight="1" x14ac:dyDescent="0.2">
      <c r="A11" s="4" t="s">
        <v>16</v>
      </c>
      <c r="B11" s="4"/>
      <c r="C11" s="3">
        <v>15</v>
      </c>
      <c r="D11" s="3">
        <v>14</v>
      </c>
      <c r="E11" s="2">
        <v>15</v>
      </c>
      <c r="F11" s="2">
        <v>0</v>
      </c>
      <c r="G11" s="3">
        <f>SUM(C11+E11)</f>
        <v>30</v>
      </c>
      <c r="H11" s="3">
        <f>SUM(D11+F11)</f>
        <v>14</v>
      </c>
      <c r="I11" s="24" t="s">
        <v>17</v>
      </c>
      <c r="J11" s="1" t="s">
        <v>18</v>
      </c>
      <c r="K11" s="1"/>
      <c r="L11" s="25" t="s">
        <v>15</v>
      </c>
    </row>
    <row r="12" spans="1:12" ht="52.5" customHeight="1" x14ac:dyDescent="0.2">
      <c r="A12" s="4"/>
      <c r="B12" s="4"/>
      <c r="C12" s="3"/>
      <c r="D12" s="3"/>
      <c r="E12" s="2"/>
      <c r="F12" s="2"/>
      <c r="G12" s="3"/>
      <c r="H12" s="3"/>
      <c r="I12" s="26">
        <v>2</v>
      </c>
      <c r="J12" s="101" t="s">
        <v>19</v>
      </c>
      <c r="K12" s="101"/>
      <c r="L12" s="27">
        <v>0</v>
      </c>
    </row>
    <row r="13" spans="1:12" ht="43.5" customHeight="1" x14ac:dyDescent="0.2">
      <c r="A13" s="4"/>
      <c r="B13" s="4"/>
      <c r="C13" s="3"/>
      <c r="D13" s="3"/>
      <c r="E13" s="2"/>
      <c r="F13" s="2"/>
      <c r="G13" s="3"/>
      <c r="H13" s="3"/>
      <c r="I13" s="28">
        <v>2</v>
      </c>
      <c r="J13" s="101" t="s">
        <v>20</v>
      </c>
      <c r="K13" s="101"/>
      <c r="L13" s="27">
        <v>1</v>
      </c>
    </row>
    <row r="14" spans="1:12" ht="30" customHeight="1" x14ac:dyDescent="0.2">
      <c r="A14" s="4"/>
      <c r="B14" s="4"/>
      <c r="C14" s="3"/>
      <c r="D14" s="3"/>
      <c r="E14" s="2"/>
      <c r="F14" s="2"/>
      <c r="G14" s="3"/>
      <c r="H14" s="3"/>
      <c r="I14" s="28">
        <v>2</v>
      </c>
      <c r="J14" s="101" t="s">
        <v>21</v>
      </c>
      <c r="K14" s="101"/>
      <c r="L14" s="27">
        <v>1</v>
      </c>
    </row>
    <row r="15" spans="1:12" ht="30" customHeight="1" x14ac:dyDescent="0.2">
      <c r="A15" s="4"/>
      <c r="B15" s="4"/>
      <c r="C15" s="3"/>
      <c r="D15" s="3"/>
      <c r="E15" s="2"/>
      <c r="F15" s="2"/>
      <c r="G15" s="3"/>
      <c r="H15" s="3"/>
      <c r="I15" s="28">
        <v>2</v>
      </c>
      <c r="J15" s="101" t="s">
        <v>22</v>
      </c>
      <c r="K15" s="101"/>
      <c r="L15" s="27">
        <v>5</v>
      </c>
    </row>
    <row r="16" spans="1:12" ht="47.75" customHeight="1" x14ac:dyDescent="0.2">
      <c r="A16" s="4"/>
      <c r="B16" s="4"/>
      <c r="C16" s="3"/>
      <c r="D16" s="3"/>
      <c r="E16" s="2"/>
      <c r="F16" s="2"/>
      <c r="G16" s="3"/>
      <c r="H16" s="3"/>
      <c r="I16" s="28">
        <v>2</v>
      </c>
      <c r="J16" s="101" t="s">
        <v>23</v>
      </c>
      <c r="K16" s="101"/>
      <c r="L16" s="27">
        <v>4</v>
      </c>
    </row>
    <row r="17" spans="1:12" ht="46.5" customHeight="1" x14ac:dyDescent="0.2">
      <c r="A17" s="4"/>
      <c r="B17" s="4"/>
      <c r="C17" s="3"/>
      <c r="D17" s="3"/>
      <c r="E17" s="2"/>
      <c r="F17" s="2"/>
      <c r="G17" s="3"/>
      <c r="H17" s="3"/>
      <c r="I17" s="28">
        <v>2</v>
      </c>
      <c r="J17" s="101" t="s">
        <v>24</v>
      </c>
      <c r="K17" s="101"/>
      <c r="L17" s="27">
        <v>3</v>
      </c>
    </row>
    <row r="18" spans="1:12" ht="39" customHeight="1" x14ac:dyDescent="0.2">
      <c r="A18" s="4" t="s">
        <v>25</v>
      </c>
      <c r="B18" s="4"/>
      <c r="C18" s="29">
        <v>30</v>
      </c>
      <c r="D18" s="29">
        <v>25</v>
      </c>
      <c r="E18" s="30">
        <v>30</v>
      </c>
      <c r="F18" s="30">
        <v>0</v>
      </c>
      <c r="G18" s="23">
        <f>SUM(C18+E18)</f>
        <v>60</v>
      </c>
      <c r="H18" s="31">
        <f>SUM(D18+F18)</f>
        <v>25</v>
      </c>
      <c r="I18" s="1" t="s">
        <v>26</v>
      </c>
      <c r="J18" s="1"/>
      <c r="K18" s="1"/>
      <c r="L18" s="1"/>
    </row>
    <row r="19" spans="1:12" ht="39" customHeight="1" x14ac:dyDescent="0.2">
      <c r="A19" s="4" t="s">
        <v>27</v>
      </c>
      <c r="B19" s="4"/>
      <c r="C19" s="29">
        <v>9</v>
      </c>
      <c r="D19" s="29">
        <v>15</v>
      </c>
      <c r="E19" s="30">
        <v>9</v>
      </c>
      <c r="F19" s="30">
        <v>0</v>
      </c>
      <c r="G19" s="23">
        <f>SUM(C19+E19)</f>
        <v>18</v>
      </c>
      <c r="H19" s="31">
        <f>SUM(D19+F19)</f>
        <v>15</v>
      </c>
      <c r="I19" s="1" t="s">
        <v>28</v>
      </c>
      <c r="J19" s="1"/>
      <c r="K19" s="1"/>
      <c r="L19" s="1"/>
    </row>
    <row r="20" spans="1:12" s="39" customFormat="1" ht="29.25" customHeight="1" x14ac:dyDescent="0.2">
      <c r="A20" s="32"/>
      <c r="B20" s="33"/>
      <c r="C20" s="34">
        <f t="shared" ref="C20:H20" si="0">SUM(C11:C19)</f>
        <v>54</v>
      </c>
      <c r="D20" s="34">
        <f t="shared" si="0"/>
        <v>54</v>
      </c>
      <c r="E20" s="35">
        <f t="shared" si="0"/>
        <v>54</v>
      </c>
      <c r="F20" s="35">
        <f t="shared" si="0"/>
        <v>0</v>
      </c>
      <c r="G20" s="36">
        <f t="shared" si="0"/>
        <v>108</v>
      </c>
      <c r="H20" s="37">
        <f t="shared" si="0"/>
        <v>54</v>
      </c>
      <c r="I20" s="33"/>
      <c r="J20" s="33"/>
      <c r="K20" s="33"/>
      <c r="L20" s="38"/>
    </row>
  </sheetData>
  <autoFilter ref="D10:D20" xr:uid="{00000000-0009-0000-0000-000000000000}"/>
  <mergeCells count="38">
    <mergeCell ref="A18:B18"/>
    <mergeCell ref="I18:L18"/>
    <mergeCell ref="A19:B19"/>
    <mergeCell ref="I19:L19"/>
    <mergeCell ref="G11:G17"/>
    <mergeCell ref="H11:H17"/>
    <mergeCell ref="J11:K11"/>
    <mergeCell ref="J12:K12"/>
    <mergeCell ref="J13:K13"/>
    <mergeCell ref="J14:K14"/>
    <mergeCell ref="J15:K15"/>
    <mergeCell ref="J16:K16"/>
    <mergeCell ref="J17:K17"/>
    <mergeCell ref="A11:B17"/>
    <mergeCell ref="C11:C17"/>
    <mergeCell ref="D11:D17"/>
    <mergeCell ref="E11:E17"/>
    <mergeCell ref="F11:F17"/>
    <mergeCell ref="A7:B7"/>
    <mergeCell ref="C7:L7"/>
    <mergeCell ref="A8:B10"/>
    <mergeCell ref="C8:D8"/>
    <mergeCell ref="E8:F8"/>
    <mergeCell ref="G8:H9"/>
    <mergeCell ref="I8:L9"/>
    <mergeCell ref="C9:D9"/>
    <mergeCell ref="E9:F9"/>
    <mergeCell ref="A4:B4"/>
    <mergeCell ref="C4:L4"/>
    <mergeCell ref="A5:B5"/>
    <mergeCell ref="C5:L5"/>
    <mergeCell ref="A6:B6"/>
    <mergeCell ref="C6:L6"/>
    <mergeCell ref="A1:L1"/>
    <mergeCell ref="A2:B2"/>
    <mergeCell ref="C2:L2"/>
    <mergeCell ref="A3:B3"/>
    <mergeCell ref="C3:L3"/>
  </mergeCells>
  <conditionalFormatting sqref="D11:D20">
    <cfRule type="expression" dxfId="25" priority="2">
      <formula>$D11&lt;$C11</formula>
    </cfRule>
    <cfRule type="expression" dxfId="24" priority="9">
      <formula>D11&gt;=C11</formula>
    </cfRule>
  </conditionalFormatting>
  <conditionalFormatting sqref="F11:F20">
    <cfRule type="expression" dxfId="23" priority="3">
      <formula>$F11&lt;$E11</formula>
    </cfRule>
    <cfRule type="expression" dxfId="22" priority="4">
      <formula>F11&gt;=E11</formula>
    </cfRule>
  </conditionalFormatting>
  <conditionalFormatting sqref="H11:H20">
    <cfRule type="expression" dxfId="21" priority="5">
      <formula>$H11&lt;$G11</formula>
    </cfRule>
    <cfRule type="expression" dxfId="20" priority="6">
      <formula>$H11&gt;=$G11</formula>
    </cfRule>
  </conditionalFormatting>
  <conditionalFormatting sqref="L12:L17">
    <cfRule type="expression" dxfId="19" priority="7">
      <formula>$L12&lt;$I12</formula>
    </cfRule>
    <cfRule type="expression" dxfId="18" priority="8">
      <formula>$L12&gt;=$I12</formula>
    </cfRule>
  </conditionalFormatting>
  <printOptions horizontalCentered="1" verticalCentered="1"/>
  <pageMargins left="0.25" right="0.25" top="0.25" bottom="0.25" header="0.51180555555555496" footer="0.51180555555555496"/>
  <pageSetup firstPageNumber="0" orientation="landscape" horizontalDpi="300" verticalDpi="300"/>
  <rowBreaks count="1" manualBreakCount="1">
    <brk id="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E0B4"/>
  </sheetPr>
  <dimension ref="A1:I22"/>
  <sheetViews>
    <sheetView topLeftCell="A20" zoomScale="86" zoomScaleNormal="70" workbookViewId="0">
      <selection activeCell="F21" sqref="F21"/>
    </sheetView>
  </sheetViews>
  <sheetFormatPr baseColWidth="10" defaultColWidth="8.6640625" defaultRowHeight="15" x14ac:dyDescent="0.2"/>
  <cols>
    <col min="1" max="2" width="17.6640625" customWidth="1" collapsed="1"/>
    <col min="3" max="3" width="29.83203125" customWidth="1" collapsed="1"/>
    <col min="4" max="4" width="15.5" customWidth="1" collapsed="1"/>
    <col min="5" max="5" width="15.33203125" customWidth="1" collapsed="1"/>
    <col min="6" max="6" width="15.5" customWidth="1" collapsed="1"/>
    <col min="7" max="7" width="14.83203125" customWidth="1" collapsed="1"/>
    <col min="8" max="8" width="14.5" customWidth="1" collapsed="1"/>
    <col min="9" max="9" width="16.33203125" customWidth="1" collapsed="1"/>
  </cols>
  <sheetData>
    <row r="1" spans="1:9" ht="66.5" customHeight="1" x14ac:dyDescent="0.2">
      <c r="A1" s="102" t="s">
        <v>29</v>
      </c>
      <c r="B1" s="102"/>
      <c r="C1" s="102"/>
      <c r="D1" s="102"/>
      <c r="E1" s="102"/>
      <c r="F1" s="102"/>
      <c r="G1" s="102"/>
      <c r="H1" s="102"/>
      <c r="I1" s="102"/>
    </row>
    <row r="2" spans="1:9" ht="15" customHeight="1" x14ac:dyDescent="0.2">
      <c r="A2" s="103" t="s">
        <v>1</v>
      </c>
      <c r="B2" s="103"/>
      <c r="C2" s="104" t="s">
        <v>117</v>
      </c>
      <c r="D2" s="104"/>
      <c r="E2" s="104"/>
      <c r="F2" s="104"/>
      <c r="G2" s="104"/>
      <c r="H2" s="104"/>
      <c r="I2" s="104"/>
    </row>
    <row r="3" spans="1:9" ht="15" customHeight="1" x14ac:dyDescent="0.2">
      <c r="A3" s="103" t="s">
        <v>2</v>
      </c>
      <c r="B3" s="103"/>
      <c r="C3" s="104" t="s">
        <v>118</v>
      </c>
      <c r="D3" s="104"/>
      <c r="E3" s="104"/>
      <c r="F3" s="104"/>
      <c r="G3" s="104"/>
      <c r="H3" s="104"/>
      <c r="I3" s="104"/>
    </row>
    <row r="4" spans="1:9" ht="15" customHeight="1" x14ac:dyDescent="0.2">
      <c r="A4" s="103" t="s">
        <v>3</v>
      </c>
      <c r="B4" s="103"/>
      <c r="C4" s="104" t="s">
        <v>119</v>
      </c>
      <c r="D4" s="104"/>
      <c r="E4" s="104"/>
      <c r="F4" s="104"/>
      <c r="G4" s="104"/>
      <c r="H4" s="104"/>
      <c r="I4" s="104"/>
    </row>
    <row r="5" spans="1:9" ht="15" customHeight="1" x14ac:dyDescent="0.2">
      <c r="A5" s="103" t="s">
        <v>4</v>
      </c>
      <c r="B5" s="103"/>
      <c r="C5" s="104" t="s">
        <v>120</v>
      </c>
      <c r="D5" s="104"/>
      <c r="E5" s="104"/>
      <c r="F5" s="104"/>
      <c r="G5" s="104"/>
      <c r="H5" s="104"/>
      <c r="I5" s="104"/>
    </row>
    <row r="6" spans="1:9" ht="15" customHeight="1" x14ac:dyDescent="0.2">
      <c r="A6" s="103" t="s">
        <v>5</v>
      </c>
      <c r="B6" s="103"/>
      <c r="C6" s="104" t="s">
        <v>121</v>
      </c>
      <c r="D6" s="104"/>
      <c r="E6" s="104"/>
      <c r="F6" s="104"/>
      <c r="G6" s="104"/>
      <c r="H6" s="104"/>
      <c r="I6" s="104"/>
    </row>
    <row r="7" spans="1:9" ht="15" customHeight="1" x14ac:dyDescent="0.2">
      <c r="A7" s="103" t="s">
        <v>6</v>
      </c>
      <c r="B7" s="103"/>
      <c r="C7" s="104" t="s">
        <v>122</v>
      </c>
      <c r="D7" s="104"/>
      <c r="E7" s="104"/>
      <c r="F7" s="104"/>
      <c r="G7" s="104"/>
      <c r="H7" s="104"/>
      <c r="I7" s="104"/>
    </row>
    <row r="8" spans="1:9" ht="84" customHeight="1" x14ac:dyDescent="0.2">
      <c r="A8" s="105" t="s">
        <v>30</v>
      </c>
      <c r="B8" s="105"/>
      <c r="C8" s="106" t="s">
        <v>31</v>
      </c>
      <c r="D8" s="107" t="s">
        <v>8</v>
      </c>
      <c r="E8" s="107"/>
      <c r="F8" s="108" t="s">
        <v>32</v>
      </c>
      <c r="G8" s="108"/>
      <c r="H8" s="109" t="s">
        <v>33</v>
      </c>
      <c r="I8" s="109"/>
    </row>
    <row r="9" spans="1:9" ht="129" customHeight="1" x14ac:dyDescent="0.2">
      <c r="A9" s="105"/>
      <c r="B9" s="105"/>
      <c r="C9" s="106"/>
      <c r="D9" s="110" t="s">
        <v>34</v>
      </c>
      <c r="E9" s="110"/>
      <c r="F9" s="111" t="s">
        <v>13</v>
      </c>
      <c r="G9" s="111"/>
      <c r="H9" s="109"/>
      <c r="I9" s="109"/>
    </row>
    <row r="10" spans="1:9" ht="77.25" customHeight="1" x14ac:dyDescent="0.2">
      <c r="A10" s="105"/>
      <c r="B10" s="105"/>
      <c r="C10" s="106"/>
      <c r="D10" s="40" t="s">
        <v>14</v>
      </c>
      <c r="E10" s="41" t="s">
        <v>15</v>
      </c>
      <c r="F10" s="42" t="s">
        <v>14</v>
      </c>
      <c r="G10" s="43" t="s">
        <v>15</v>
      </c>
      <c r="H10" s="44" t="s">
        <v>14</v>
      </c>
      <c r="I10" s="45" t="s">
        <v>15</v>
      </c>
    </row>
    <row r="11" spans="1:9" ht="98.25" customHeight="1" x14ac:dyDescent="0.2">
      <c r="A11" s="112" t="s">
        <v>35</v>
      </c>
      <c r="B11" s="112"/>
      <c r="C11" s="46" t="s">
        <v>36</v>
      </c>
      <c r="D11" s="47">
        <v>18</v>
      </c>
      <c r="E11" s="47">
        <v>5</v>
      </c>
      <c r="F11" s="48">
        <v>9</v>
      </c>
      <c r="G11" s="48">
        <v>0</v>
      </c>
      <c r="H11" s="47">
        <f>D11+F11</f>
        <v>27</v>
      </c>
      <c r="I11" s="49">
        <f>E11+G11</f>
        <v>5</v>
      </c>
    </row>
    <row r="12" spans="1:9" ht="89.25" customHeight="1" x14ac:dyDescent="0.2">
      <c r="A12" s="113" t="s">
        <v>37</v>
      </c>
      <c r="B12" s="113"/>
      <c r="C12" s="50" t="s">
        <v>38</v>
      </c>
      <c r="D12" s="51">
        <v>12</v>
      </c>
      <c r="E12" s="51">
        <v>3</v>
      </c>
      <c r="F12" s="52">
        <v>6</v>
      </c>
      <c r="G12" s="52">
        <v>0</v>
      </c>
      <c r="H12" s="47">
        <f>D12+F12</f>
        <v>18</v>
      </c>
      <c r="I12" s="53">
        <f>E12+G12</f>
        <v>3</v>
      </c>
    </row>
    <row r="13" spans="1:9" ht="47.75" customHeight="1" x14ac:dyDescent="0.2">
      <c r="A13" s="114" t="s">
        <v>39</v>
      </c>
      <c r="B13" s="114"/>
      <c r="C13" s="50" t="s">
        <v>40</v>
      </c>
      <c r="D13" s="54">
        <v>2</v>
      </c>
      <c r="E13" s="55">
        <v>0</v>
      </c>
      <c r="F13" s="115">
        <v>2</v>
      </c>
      <c r="G13" s="115">
        <v>0</v>
      </c>
      <c r="H13" s="116">
        <f>D13+D14+F13</f>
        <v>6</v>
      </c>
      <c r="I13" s="116">
        <f>E13+E14+G13</f>
        <v>0</v>
      </c>
    </row>
    <row r="14" spans="1:9" ht="126.75" customHeight="1" x14ac:dyDescent="0.2">
      <c r="A14" s="114" t="s">
        <v>41</v>
      </c>
      <c r="B14" s="114"/>
      <c r="C14" s="50" t="s">
        <v>42</v>
      </c>
      <c r="D14" s="54">
        <v>2</v>
      </c>
      <c r="E14" s="55">
        <v>0</v>
      </c>
      <c r="F14" s="115"/>
      <c r="G14" s="115"/>
      <c r="H14" s="116"/>
      <c r="I14" s="116"/>
    </row>
    <row r="15" spans="1:9" ht="93" customHeight="1" x14ac:dyDescent="0.2">
      <c r="A15" s="117" t="s">
        <v>43</v>
      </c>
      <c r="B15" s="117"/>
      <c r="C15" s="50" t="s">
        <v>44</v>
      </c>
      <c r="D15" s="54">
        <v>2</v>
      </c>
      <c r="E15" s="55">
        <v>0</v>
      </c>
      <c r="F15" s="56">
        <v>2</v>
      </c>
      <c r="G15" s="57">
        <v>0</v>
      </c>
      <c r="H15" s="51">
        <f t="shared" ref="H15:I21" si="0">D15+F15</f>
        <v>4</v>
      </c>
      <c r="I15" s="53">
        <f t="shared" si="0"/>
        <v>0</v>
      </c>
    </row>
    <row r="16" spans="1:9" ht="84.75" customHeight="1" x14ac:dyDescent="0.2">
      <c r="A16" s="117" t="s">
        <v>45</v>
      </c>
      <c r="B16" s="117"/>
      <c r="C16" s="50" t="s">
        <v>46</v>
      </c>
      <c r="D16" s="58">
        <v>12</v>
      </c>
      <c r="E16" s="51">
        <v>3</v>
      </c>
      <c r="F16" s="59">
        <v>6</v>
      </c>
      <c r="G16" s="52">
        <v>0</v>
      </c>
      <c r="H16" s="51">
        <f t="shared" si="0"/>
        <v>18</v>
      </c>
      <c r="I16" s="53">
        <f t="shared" si="0"/>
        <v>3</v>
      </c>
    </row>
    <row r="17" spans="1:9" ht="86.25" customHeight="1" x14ac:dyDescent="0.2">
      <c r="A17" s="117" t="s">
        <v>47</v>
      </c>
      <c r="B17" s="117"/>
      <c r="C17" s="50" t="s">
        <v>48</v>
      </c>
      <c r="D17" s="54">
        <v>2</v>
      </c>
      <c r="E17" s="55">
        <v>0</v>
      </c>
      <c r="F17" s="56">
        <v>1</v>
      </c>
      <c r="G17" s="57">
        <v>0</v>
      </c>
      <c r="H17" s="51">
        <f t="shared" si="0"/>
        <v>3</v>
      </c>
      <c r="I17" s="53">
        <f t="shared" si="0"/>
        <v>0</v>
      </c>
    </row>
    <row r="18" spans="1:9" ht="64.25" customHeight="1" x14ac:dyDescent="0.2">
      <c r="A18" s="118" t="s">
        <v>49</v>
      </c>
      <c r="B18" s="118"/>
      <c r="C18" s="50" t="s">
        <v>40</v>
      </c>
      <c r="D18" s="58">
        <v>10</v>
      </c>
      <c r="E18" s="51">
        <v>5</v>
      </c>
      <c r="F18" s="59">
        <v>6</v>
      </c>
      <c r="G18" s="52">
        <v>0</v>
      </c>
      <c r="H18" s="51">
        <f t="shared" si="0"/>
        <v>16</v>
      </c>
      <c r="I18" s="53">
        <f t="shared" si="0"/>
        <v>5</v>
      </c>
    </row>
    <row r="19" spans="1:9" ht="95.25" customHeight="1" x14ac:dyDescent="0.2">
      <c r="A19" s="117" t="s">
        <v>50</v>
      </c>
      <c r="B19" s="117"/>
      <c r="C19" s="50" t="s">
        <v>51</v>
      </c>
      <c r="D19" s="58">
        <v>8</v>
      </c>
      <c r="E19" s="51">
        <v>8</v>
      </c>
      <c r="F19" s="59">
        <v>4</v>
      </c>
      <c r="G19" s="52">
        <v>0</v>
      </c>
      <c r="H19" s="51">
        <f t="shared" si="0"/>
        <v>12</v>
      </c>
      <c r="I19" s="53">
        <f t="shared" si="0"/>
        <v>8</v>
      </c>
    </row>
    <row r="20" spans="1:9" ht="120.75" customHeight="1" x14ac:dyDescent="0.2">
      <c r="A20" s="117" t="s">
        <v>52</v>
      </c>
      <c r="B20" s="117"/>
      <c r="C20" s="50" t="s">
        <v>53</v>
      </c>
      <c r="D20" s="58">
        <v>8</v>
      </c>
      <c r="E20" s="51">
        <v>7</v>
      </c>
      <c r="F20" s="59">
        <v>4</v>
      </c>
      <c r="G20" s="52">
        <v>0</v>
      </c>
      <c r="H20" s="51">
        <f t="shared" si="0"/>
        <v>12</v>
      </c>
      <c r="I20" s="53">
        <f t="shared" si="0"/>
        <v>7</v>
      </c>
    </row>
    <row r="21" spans="1:9" ht="193.5" customHeight="1" x14ac:dyDescent="0.2">
      <c r="A21" s="117" t="s">
        <v>54</v>
      </c>
      <c r="B21" s="117"/>
      <c r="C21" s="50" t="s">
        <v>55</v>
      </c>
      <c r="D21" s="58">
        <v>12</v>
      </c>
      <c r="E21" s="51">
        <v>25</v>
      </c>
      <c r="F21" s="59">
        <v>6</v>
      </c>
      <c r="G21" s="52">
        <v>0</v>
      </c>
      <c r="H21" s="51">
        <f t="shared" si="0"/>
        <v>18</v>
      </c>
      <c r="I21" s="53">
        <f t="shared" si="0"/>
        <v>25</v>
      </c>
    </row>
    <row r="22" spans="1:9" s="66" customFormat="1" ht="29.25" customHeight="1" x14ac:dyDescent="0.25">
      <c r="A22" s="60"/>
      <c r="B22" s="61"/>
      <c r="C22" s="62" t="s">
        <v>56</v>
      </c>
      <c r="D22" s="63">
        <f>SUM(D11:D21)</f>
        <v>88</v>
      </c>
      <c r="E22" s="63">
        <f>SUM(E11:E21)</f>
        <v>56</v>
      </c>
      <c r="F22" s="64">
        <f>SUM(F11:F21)</f>
        <v>46</v>
      </c>
      <c r="G22" s="64">
        <f>SUM(G11:G21)</f>
        <v>0</v>
      </c>
      <c r="H22" s="63">
        <f>D22+F22</f>
        <v>134</v>
      </c>
      <c r="I22" s="65">
        <f>SUM(I11:I21)</f>
        <v>56</v>
      </c>
    </row>
  </sheetData>
  <mergeCells count="35">
    <mergeCell ref="A17:B17"/>
    <mergeCell ref="A18:B18"/>
    <mergeCell ref="A19:B19"/>
    <mergeCell ref="A20:B20"/>
    <mergeCell ref="A21:B21"/>
    <mergeCell ref="H13:H14"/>
    <mergeCell ref="I13:I14"/>
    <mergeCell ref="A14:B14"/>
    <mergeCell ref="A15:B15"/>
    <mergeCell ref="A16:B16"/>
    <mergeCell ref="A11:B11"/>
    <mergeCell ref="A12:B12"/>
    <mergeCell ref="A13:B13"/>
    <mergeCell ref="F13:F14"/>
    <mergeCell ref="G13:G14"/>
    <mergeCell ref="A7:B7"/>
    <mergeCell ref="C7:I7"/>
    <mergeCell ref="A8:B10"/>
    <mergeCell ref="C8:C10"/>
    <mergeCell ref="D8:E8"/>
    <mergeCell ref="F8:G8"/>
    <mergeCell ref="H8:I9"/>
    <mergeCell ref="D9:E9"/>
    <mergeCell ref="F9:G9"/>
    <mergeCell ref="A4:B4"/>
    <mergeCell ref="C4:I4"/>
    <mergeCell ref="A5:B5"/>
    <mergeCell ref="C5:I5"/>
    <mergeCell ref="A6:B6"/>
    <mergeCell ref="C6:I6"/>
    <mergeCell ref="A1:I1"/>
    <mergeCell ref="A2:B2"/>
    <mergeCell ref="C2:I2"/>
    <mergeCell ref="A3:B3"/>
    <mergeCell ref="C3:I3"/>
  </mergeCells>
  <conditionalFormatting sqref="E11:E22">
    <cfRule type="expression" dxfId="17" priority="2">
      <formula>$E11&lt;$D11</formula>
    </cfRule>
    <cfRule type="expression" dxfId="16" priority="3">
      <formula>$E11&gt;=$D11</formula>
    </cfRule>
  </conditionalFormatting>
  <conditionalFormatting sqref="G11:G22">
    <cfRule type="expression" dxfId="15" priority="4">
      <formula>$G11&lt;$F11</formula>
    </cfRule>
    <cfRule type="expression" dxfId="14" priority="5">
      <formula>$G11&gt;=$F11</formula>
    </cfRule>
  </conditionalFormatting>
  <conditionalFormatting sqref="I11:I22">
    <cfRule type="expression" dxfId="13" priority="6">
      <formula>$I11&lt;$H11</formula>
    </cfRule>
    <cfRule type="expression" dxfId="12" priority="7">
      <formula>$I11&gt;=$H11</formula>
    </cfRule>
  </conditionalFormatting>
  <printOptions horizontalCentered="1" verticalCentered="1"/>
  <pageMargins left="0.25" right="0.25" top="0.25" bottom="0.25" header="0.51180555555555496" footer="0.51180555555555496"/>
  <pageSetup firstPageNumber="0" orientation="landscape" horizontalDpi="300" verticalDpi="300"/>
  <rowBreaks count="1" manualBreakCount="1">
    <brk id="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E699"/>
  </sheetPr>
  <dimension ref="A1:K28"/>
  <sheetViews>
    <sheetView topLeftCell="A8" zoomScaleNormal="80" workbookViewId="0">
      <selection activeCell="H12" sqref="H12"/>
    </sheetView>
  </sheetViews>
  <sheetFormatPr baseColWidth="10" defaultColWidth="9.33203125" defaultRowHeight="15" x14ac:dyDescent="0.2"/>
  <cols>
    <col min="1" max="2" width="19.6640625" customWidth="1" collapsed="1"/>
    <col min="3" max="4" width="21.5" customWidth="1" collapsed="1"/>
    <col min="5" max="5" width="14.6640625" customWidth="1" collapsed="1"/>
    <col min="6" max="6" width="14.33203125" customWidth="1" collapsed="1"/>
    <col min="7" max="8" width="13.33203125" customWidth="1" collapsed="1"/>
    <col min="9" max="9" width="14.6640625" customWidth="1" collapsed="1"/>
    <col min="10" max="10" width="14.5" customWidth="1" collapsed="1"/>
    <col min="11" max="11" width="17.33203125" customWidth="1" collapsed="1"/>
  </cols>
  <sheetData>
    <row r="1" spans="1:11" ht="66.5" customHeight="1" x14ac:dyDescent="0.2">
      <c r="A1" s="119" t="s">
        <v>57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ht="24.75" customHeight="1" x14ac:dyDescent="0.2">
      <c r="A2" s="120" t="s">
        <v>1</v>
      </c>
      <c r="B2" s="120"/>
      <c r="C2" s="121" t="s">
        <v>117</v>
      </c>
      <c r="D2" s="121"/>
      <c r="E2" s="121"/>
      <c r="F2" s="121"/>
      <c r="G2" s="121"/>
      <c r="H2" s="121"/>
      <c r="I2" s="121"/>
      <c r="J2" s="121"/>
      <c r="K2" s="121"/>
    </row>
    <row r="3" spans="1:11" ht="24.75" customHeight="1" x14ac:dyDescent="0.2">
      <c r="A3" s="120" t="s">
        <v>2</v>
      </c>
      <c r="B3" s="120"/>
      <c r="C3" s="121" t="s">
        <v>118</v>
      </c>
      <c r="D3" s="121"/>
      <c r="E3" s="121"/>
      <c r="F3" s="121"/>
      <c r="G3" s="121"/>
      <c r="H3" s="121"/>
      <c r="I3" s="121"/>
      <c r="J3" s="121"/>
      <c r="K3" s="121"/>
    </row>
    <row r="4" spans="1:11" ht="24.75" customHeight="1" x14ac:dyDescent="0.2">
      <c r="A4" s="120" t="s">
        <v>3</v>
      </c>
      <c r="B4" s="120"/>
      <c r="C4" s="121" t="s">
        <v>119</v>
      </c>
      <c r="D4" s="121"/>
      <c r="E4" s="121"/>
      <c r="F4" s="121"/>
      <c r="G4" s="121"/>
      <c r="H4" s="121"/>
      <c r="I4" s="121"/>
      <c r="J4" s="121"/>
      <c r="K4" s="121"/>
    </row>
    <row r="5" spans="1:11" ht="24.75" customHeight="1" x14ac:dyDescent="0.2">
      <c r="A5" s="120" t="s">
        <v>4</v>
      </c>
      <c r="B5" s="120"/>
      <c r="C5" s="121" t="s">
        <v>120</v>
      </c>
      <c r="D5" s="121"/>
      <c r="E5" s="121"/>
      <c r="F5" s="121"/>
      <c r="G5" s="121"/>
      <c r="H5" s="121"/>
      <c r="I5" s="121"/>
      <c r="J5" s="121"/>
      <c r="K5" s="121"/>
    </row>
    <row r="6" spans="1:11" ht="24.75" customHeight="1" x14ac:dyDescent="0.2">
      <c r="A6" s="120" t="s">
        <v>5</v>
      </c>
      <c r="B6" s="120"/>
      <c r="C6" s="121" t="s">
        <v>121</v>
      </c>
      <c r="D6" s="121"/>
      <c r="E6" s="121"/>
      <c r="F6" s="121"/>
      <c r="G6" s="121"/>
      <c r="H6" s="121"/>
      <c r="I6" s="121"/>
      <c r="J6" s="121"/>
      <c r="K6" s="121"/>
    </row>
    <row r="7" spans="1:11" ht="24.75" customHeight="1" x14ac:dyDescent="0.2">
      <c r="A7" s="120" t="s">
        <v>6</v>
      </c>
      <c r="B7" s="120"/>
      <c r="C7" s="121" t="s">
        <v>122</v>
      </c>
      <c r="D7" s="121"/>
      <c r="E7" s="121"/>
      <c r="F7" s="121"/>
      <c r="G7" s="121"/>
      <c r="H7" s="121"/>
      <c r="I7" s="121"/>
      <c r="J7" s="121"/>
      <c r="K7" s="121"/>
    </row>
    <row r="8" spans="1:11" ht="59.25" customHeight="1" x14ac:dyDescent="0.2">
      <c r="A8" s="122" t="s">
        <v>58</v>
      </c>
      <c r="B8" s="122"/>
      <c r="C8" s="123" t="s">
        <v>59</v>
      </c>
      <c r="D8" s="123"/>
      <c r="E8" s="124" t="s">
        <v>60</v>
      </c>
      <c r="F8" s="124"/>
      <c r="G8" s="109" t="s">
        <v>61</v>
      </c>
      <c r="H8" s="109"/>
      <c r="I8" s="125" t="s">
        <v>62</v>
      </c>
      <c r="J8" s="125"/>
      <c r="K8" s="125"/>
    </row>
    <row r="9" spans="1:11" ht="58.5" customHeight="1" x14ac:dyDescent="0.2">
      <c r="A9" s="122"/>
      <c r="B9" s="122"/>
      <c r="C9" s="123"/>
      <c r="D9" s="123"/>
      <c r="E9" s="124"/>
      <c r="F9" s="124"/>
      <c r="G9" s="109"/>
      <c r="H9" s="109"/>
      <c r="I9" s="125"/>
      <c r="J9" s="125"/>
      <c r="K9" s="125"/>
    </row>
    <row r="10" spans="1:11" ht="34.25" customHeight="1" x14ac:dyDescent="0.2">
      <c r="A10" s="67"/>
      <c r="B10" s="68"/>
      <c r="C10" s="123"/>
      <c r="D10" s="123"/>
      <c r="E10" s="126" t="s">
        <v>63</v>
      </c>
      <c r="F10" s="126"/>
      <c r="G10" s="109"/>
      <c r="H10" s="109"/>
      <c r="I10" s="69"/>
      <c r="J10" s="69"/>
      <c r="K10" s="70"/>
    </row>
    <row r="11" spans="1:11" ht="34.25" customHeight="1" x14ac:dyDescent="0.2">
      <c r="A11" s="67"/>
      <c r="B11" s="68"/>
      <c r="C11" s="71" t="s">
        <v>14</v>
      </c>
      <c r="D11" s="72" t="s">
        <v>15</v>
      </c>
      <c r="E11" s="73" t="s">
        <v>14</v>
      </c>
      <c r="F11" s="74" t="s">
        <v>15</v>
      </c>
      <c r="G11" s="75" t="s">
        <v>14</v>
      </c>
      <c r="H11" s="75" t="s">
        <v>15</v>
      </c>
      <c r="I11" s="76" t="s">
        <v>64</v>
      </c>
      <c r="J11" s="76" t="s">
        <v>65</v>
      </c>
      <c r="K11" s="77" t="s">
        <v>66</v>
      </c>
    </row>
    <row r="12" spans="1:11" ht="32.25" customHeight="1" x14ac:dyDescent="0.2">
      <c r="A12" s="113" t="s">
        <v>67</v>
      </c>
      <c r="B12" s="113"/>
      <c r="C12" s="78">
        <v>2</v>
      </c>
      <c r="D12" s="79">
        <v>2</v>
      </c>
      <c r="E12" s="80">
        <v>25</v>
      </c>
      <c r="F12" s="80">
        <v>19</v>
      </c>
      <c r="G12" s="79">
        <f t="shared" ref="G12:G27" si="0">C12+E12</f>
        <v>27</v>
      </c>
      <c r="H12" s="78">
        <f t="shared" ref="H12:H27" si="1">D12+F12</f>
        <v>21</v>
      </c>
      <c r="I12" s="81">
        <f>F12</f>
        <v>19</v>
      </c>
      <c r="J12" s="81">
        <v>19</v>
      </c>
      <c r="K12" s="82">
        <f>IFERROR(I12/J12, "")</f>
        <v>1</v>
      </c>
    </row>
    <row r="13" spans="1:11" ht="22" customHeight="1" x14ac:dyDescent="0.2">
      <c r="A13" s="113" t="s">
        <v>68</v>
      </c>
      <c r="B13" s="113"/>
      <c r="C13" s="78">
        <v>2</v>
      </c>
      <c r="D13" s="83">
        <v>2</v>
      </c>
      <c r="E13" s="80">
        <v>2</v>
      </c>
      <c r="F13" s="80">
        <v>0</v>
      </c>
      <c r="G13" s="79">
        <f t="shared" si="0"/>
        <v>4</v>
      </c>
      <c r="H13" s="78">
        <f t="shared" si="1"/>
        <v>2</v>
      </c>
      <c r="I13" s="127"/>
      <c r="J13" s="127"/>
      <c r="K13" s="127"/>
    </row>
    <row r="14" spans="1:11" ht="30" customHeight="1" x14ac:dyDescent="0.2">
      <c r="A14" s="113" t="s">
        <v>69</v>
      </c>
      <c r="B14" s="113"/>
      <c r="C14" s="78">
        <v>2</v>
      </c>
      <c r="D14" s="83">
        <v>2</v>
      </c>
      <c r="E14" s="80">
        <v>10</v>
      </c>
      <c r="F14" s="80">
        <v>22</v>
      </c>
      <c r="G14" s="79">
        <f t="shared" si="0"/>
        <v>12</v>
      </c>
      <c r="H14" s="78">
        <f t="shared" si="1"/>
        <v>24</v>
      </c>
      <c r="I14" s="81">
        <f>F14</f>
        <v>22</v>
      </c>
      <c r="J14" s="81">
        <v>22</v>
      </c>
      <c r="K14" s="82">
        <f>IFERROR(I14/J14, "")</f>
        <v>1</v>
      </c>
    </row>
    <row r="15" spans="1:11" ht="22" customHeight="1" x14ac:dyDescent="0.2">
      <c r="A15" s="113" t="s">
        <v>70</v>
      </c>
      <c r="B15" s="113"/>
      <c r="C15" s="78">
        <v>2</v>
      </c>
      <c r="D15" s="83">
        <v>2</v>
      </c>
      <c r="E15" s="80">
        <v>2</v>
      </c>
      <c r="F15" s="80">
        <v>2</v>
      </c>
      <c r="G15" s="79">
        <f t="shared" si="0"/>
        <v>4</v>
      </c>
      <c r="H15" s="78">
        <f t="shared" si="1"/>
        <v>4</v>
      </c>
      <c r="I15" s="128"/>
      <c r="J15" s="128"/>
      <c r="K15" s="128"/>
    </row>
    <row r="16" spans="1:11" ht="22" customHeight="1" x14ac:dyDescent="0.2">
      <c r="A16" s="113" t="s">
        <v>71</v>
      </c>
      <c r="B16" s="113"/>
      <c r="C16" s="78">
        <v>4</v>
      </c>
      <c r="D16" s="83">
        <v>4</v>
      </c>
      <c r="E16" s="80">
        <v>2</v>
      </c>
      <c r="F16" s="80">
        <v>0</v>
      </c>
      <c r="G16" s="79">
        <f t="shared" si="0"/>
        <v>6</v>
      </c>
      <c r="H16" s="78">
        <f t="shared" si="1"/>
        <v>4</v>
      </c>
      <c r="I16" s="127"/>
      <c r="J16" s="127"/>
      <c r="K16" s="127"/>
    </row>
    <row r="17" spans="1:11" ht="22" customHeight="1" x14ac:dyDescent="0.2">
      <c r="A17" s="113" t="s">
        <v>72</v>
      </c>
      <c r="B17" s="113"/>
      <c r="C17" s="78">
        <v>4</v>
      </c>
      <c r="D17" s="83">
        <v>5</v>
      </c>
      <c r="E17" s="80">
        <v>10</v>
      </c>
      <c r="F17" s="80">
        <v>5</v>
      </c>
      <c r="G17" s="79">
        <f t="shared" si="0"/>
        <v>14</v>
      </c>
      <c r="H17" s="78">
        <f t="shared" si="1"/>
        <v>10</v>
      </c>
      <c r="I17" s="127"/>
      <c r="J17" s="127"/>
      <c r="K17" s="127"/>
    </row>
    <row r="18" spans="1:11" ht="32.25" customHeight="1" x14ac:dyDescent="0.2">
      <c r="A18" s="113" t="s">
        <v>73</v>
      </c>
      <c r="B18" s="113"/>
      <c r="C18" s="78">
        <v>2</v>
      </c>
      <c r="D18" s="83">
        <v>2</v>
      </c>
      <c r="E18" s="80">
        <v>10</v>
      </c>
      <c r="F18" s="80">
        <v>9</v>
      </c>
      <c r="G18" s="79">
        <f t="shared" si="0"/>
        <v>12</v>
      </c>
      <c r="H18" s="78">
        <f t="shared" si="1"/>
        <v>11</v>
      </c>
      <c r="I18" s="84">
        <f>F18</f>
        <v>9</v>
      </c>
      <c r="J18" s="84">
        <v>9</v>
      </c>
      <c r="K18" s="82">
        <f>IFERROR(I18/J18, "")</f>
        <v>1</v>
      </c>
    </row>
    <row r="19" spans="1:11" ht="22" customHeight="1" x14ac:dyDescent="0.2">
      <c r="A19" s="113" t="s">
        <v>74</v>
      </c>
      <c r="B19" s="113"/>
      <c r="C19" s="78">
        <v>2</v>
      </c>
      <c r="D19" s="83">
        <v>2</v>
      </c>
      <c r="E19" s="80">
        <v>2</v>
      </c>
      <c r="F19" s="80">
        <v>2</v>
      </c>
      <c r="G19" s="79">
        <f t="shared" si="0"/>
        <v>4</v>
      </c>
      <c r="H19" s="78">
        <f t="shared" si="1"/>
        <v>4</v>
      </c>
      <c r="I19" s="127"/>
      <c r="J19" s="127"/>
      <c r="K19" s="127"/>
    </row>
    <row r="20" spans="1:11" ht="30" customHeight="1" x14ac:dyDescent="0.2">
      <c r="A20" s="114" t="s">
        <v>75</v>
      </c>
      <c r="B20" s="114"/>
      <c r="C20" s="78">
        <v>2</v>
      </c>
      <c r="D20" s="83">
        <v>3</v>
      </c>
      <c r="E20" s="80">
        <v>2</v>
      </c>
      <c r="F20" s="80">
        <v>0</v>
      </c>
      <c r="G20" s="79">
        <f t="shared" si="0"/>
        <v>4</v>
      </c>
      <c r="H20" s="78">
        <f t="shared" si="1"/>
        <v>3</v>
      </c>
      <c r="I20" s="127"/>
      <c r="J20" s="127"/>
      <c r="K20" s="127"/>
    </row>
    <row r="21" spans="1:11" ht="22" customHeight="1" x14ac:dyDescent="0.2">
      <c r="A21" s="113" t="s">
        <v>76</v>
      </c>
      <c r="B21" s="113"/>
      <c r="C21" s="78">
        <v>2</v>
      </c>
      <c r="D21" s="83">
        <v>2</v>
      </c>
      <c r="E21" s="80">
        <v>2</v>
      </c>
      <c r="F21" s="80">
        <v>0</v>
      </c>
      <c r="G21" s="79">
        <f t="shared" si="0"/>
        <v>4</v>
      </c>
      <c r="H21" s="78">
        <f t="shared" si="1"/>
        <v>2</v>
      </c>
      <c r="I21" s="127"/>
      <c r="J21" s="127"/>
      <c r="K21" s="127"/>
    </row>
    <row r="22" spans="1:11" ht="22" customHeight="1" x14ac:dyDescent="0.2">
      <c r="A22" s="113" t="s">
        <v>77</v>
      </c>
      <c r="B22" s="113"/>
      <c r="C22" s="78">
        <v>2</v>
      </c>
      <c r="D22" s="83">
        <v>2</v>
      </c>
      <c r="E22" s="80">
        <v>10</v>
      </c>
      <c r="F22" s="80">
        <v>0</v>
      </c>
      <c r="G22" s="79">
        <f t="shared" si="0"/>
        <v>12</v>
      </c>
      <c r="H22" s="78">
        <f t="shared" si="1"/>
        <v>2</v>
      </c>
      <c r="I22" s="127"/>
      <c r="J22" s="127"/>
      <c r="K22" s="127"/>
    </row>
    <row r="23" spans="1:11" ht="30" customHeight="1" x14ac:dyDescent="0.2">
      <c r="A23" s="114" t="s">
        <v>78</v>
      </c>
      <c r="B23" s="114"/>
      <c r="C23" s="78">
        <v>2</v>
      </c>
      <c r="D23" s="83">
        <v>3</v>
      </c>
      <c r="E23" s="80">
        <v>2</v>
      </c>
      <c r="F23" s="80">
        <v>0</v>
      </c>
      <c r="G23" s="79">
        <f t="shared" si="0"/>
        <v>4</v>
      </c>
      <c r="H23" s="78">
        <f t="shared" si="1"/>
        <v>3</v>
      </c>
      <c r="I23" s="127"/>
      <c r="J23" s="127"/>
      <c r="K23" s="127"/>
    </row>
    <row r="24" spans="1:11" ht="22" customHeight="1" x14ac:dyDescent="0.2">
      <c r="A24" s="113" t="s">
        <v>79</v>
      </c>
      <c r="B24" s="113"/>
      <c r="C24" s="78">
        <v>2</v>
      </c>
      <c r="D24" s="83">
        <v>2</v>
      </c>
      <c r="E24" s="80">
        <v>2</v>
      </c>
      <c r="F24" s="80">
        <v>3</v>
      </c>
      <c r="G24" s="79">
        <f t="shared" si="0"/>
        <v>4</v>
      </c>
      <c r="H24" s="78">
        <f t="shared" si="1"/>
        <v>5</v>
      </c>
      <c r="I24" s="127"/>
      <c r="J24" s="127"/>
      <c r="K24" s="127"/>
    </row>
    <row r="25" spans="1:11" ht="22" customHeight="1" x14ac:dyDescent="0.2">
      <c r="A25" s="113" t="s">
        <v>80</v>
      </c>
      <c r="B25" s="113"/>
      <c r="C25" s="78">
        <v>2</v>
      </c>
      <c r="D25" s="83">
        <v>2</v>
      </c>
      <c r="E25" s="80">
        <v>2</v>
      </c>
      <c r="F25" s="80">
        <v>0</v>
      </c>
      <c r="G25" s="79">
        <f t="shared" si="0"/>
        <v>4</v>
      </c>
      <c r="H25" s="78">
        <f t="shared" si="1"/>
        <v>2</v>
      </c>
      <c r="I25" s="127"/>
      <c r="J25" s="127"/>
      <c r="K25" s="127"/>
    </row>
    <row r="26" spans="1:11" ht="22" customHeight="1" x14ac:dyDescent="0.2">
      <c r="A26" s="113" t="s">
        <v>81</v>
      </c>
      <c r="B26" s="113"/>
      <c r="C26" s="78">
        <v>2</v>
      </c>
      <c r="D26" s="83">
        <v>2</v>
      </c>
      <c r="E26" s="80">
        <v>2</v>
      </c>
      <c r="F26" s="80">
        <v>1</v>
      </c>
      <c r="G26" s="79">
        <f t="shared" si="0"/>
        <v>4</v>
      </c>
      <c r="H26" s="78">
        <f t="shared" si="1"/>
        <v>3</v>
      </c>
      <c r="I26" s="127"/>
      <c r="J26" s="127"/>
      <c r="K26" s="127"/>
    </row>
    <row r="27" spans="1:11" ht="22" customHeight="1" x14ac:dyDescent="0.2">
      <c r="A27" s="113" t="s">
        <v>82</v>
      </c>
      <c r="B27" s="113"/>
      <c r="C27" s="78">
        <v>2</v>
      </c>
      <c r="D27" s="79">
        <v>3</v>
      </c>
      <c r="E27" s="80">
        <v>2</v>
      </c>
      <c r="F27" s="80">
        <v>1</v>
      </c>
      <c r="G27" s="79">
        <f t="shared" si="0"/>
        <v>4</v>
      </c>
      <c r="H27" s="78">
        <f t="shared" si="1"/>
        <v>4</v>
      </c>
      <c r="I27" s="127"/>
      <c r="J27" s="127"/>
      <c r="K27" s="127"/>
    </row>
    <row r="28" spans="1:11" s="66" customFormat="1" ht="29.25" customHeight="1" x14ac:dyDescent="0.25">
      <c r="A28" s="60"/>
      <c r="B28" s="85" t="s">
        <v>56</v>
      </c>
      <c r="C28" s="86">
        <f>SUM(C12:C27)</f>
        <v>36</v>
      </c>
      <c r="D28" s="87">
        <f>SUM(D12:D27)</f>
        <v>40</v>
      </c>
      <c r="E28" s="88">
        <f>SUM(E12:E27)</f>
        <v>87</v>
      </c>
      <c r="F28" s="89">
        <f>SUM(F12:F27)</f>
        <v>64</v>
      </c>
      <c r="G28" s="90">
        <f>C28+E28</f>
        <v>123</v>
      </c>
      <c r="H28" s="87">
        <f>SUM(H12:H27)</f>
        <v>104</v>
      </c>
      <c r="I28" s="61"/>
      <c r="J28" s="129"/>
      <c r="K28" s="129"/>
    </row>
  </sheetData>
  <mergeCells count="49">
    <mergeCell ref="J28:K28"/>
    <mergeCell ref="A25:B25"/>
    <mergeCell ref="I25:K25"/>
    <mergeCell ref="A26:B26"/>
    <mergeCell ref="I26:K26"/>
    <mergeCell ref="A27:B27"/>
    <mergeCell ref="I27:K27"/>
    <mergeCell ref="A22:B22"/>
    <mergeCell ref="I22:K22"/>
    <mergeCell ref="A23:B23"/>
    <mergeCell ref="I23:K23"/>
    <mergeCell ref="A24:B24"/>
    <mergeCell ref="I24:K24"/>
    <mergeCell ref="A19:B19"/>
    <mergeCell ref="I19:K19"/>
    <mergeCell ref="A20:B20"/>
    <mergeCell ref="I20:K20"/>
    <mergeCell ref="A21:B21"/>
    <mergeCell ref="I21:K21"/>
    <mergeCell ref="A16:B16"/>
    <mergeCell ref="I16:K16"/>
    <mergeCell ref="A17:B17"/>
    <mergeCell ref="I17:K17"/>
    <mergeCell ref="A18:B18"/>
    <mergeCell ref="A12:B12"/>
    <mergeCell ref="A13:B13"/>
    <mergeCell ref="I13:K13"/>
    <mergeCell ref="A14:B14"/>
    <mergeCell ref="A15:B15"/>
    <mergeCell ref="I15:K15"/>
    <mergeCell ref="A7:B7"/>
    <mergeCell ref="C7:K7"/>
    <mergeCell ref="A8:B9"/>
    <mergeCell ref="C8:D10"/>
    <mergeCell ref="E8:F9"/>
    <mergeCell ref="G8:H10"/>
    <mergeCell ref="I8:K9"/>
    <mergeCell ref="E10:F10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conditionalFormatting sqref="D12:D28">
    <cfRule type="expression" dxfId="11" priority="2">
      <formula>$D12&lt;$C12</formula>
    </cfRule>
    <cfRule type="expression" dxfId="10" priority="3">
      <formula>$D12&gt;=$C12</formula>
    </cfRule>
  </conditionalFormatting>
  <conditionalFormatting sqref="F12:F28">
    <cfRule type="expression" dxfId="9" priority="4">
      <formula>$F12&lt;$E12</formula>
    </cfRule>
    <cfRule type="expression" dxfId="8" priority="5">
      <formula>$F12&gt;=$E12</formula>
    </cfRule>
  </conditionalFormatting>
  <conditionalFormatting sqref="H12:H28">
    <cfRule type="expression" dxfId="7" priority="6">
      <formula>$H12&lt;$G12</formula>
    </cfRule>
    <cfRule type="expression" dxfId="6" priority="7">
      <formula>$H12&gt;=$G12</formula>
    </cfRule>
  </conditionalFormatting>
  <printOptions horizontalCentered="1" verticalCentered="1"/>
  <pageMargins left="0.25" right="0.25" top="0.25" bottom="0.25" header="0.51180555555555496" footer="0.51180555555555496"/>
  <pageSetup firstPageNumber="0" orientation="landscape" horizontalDpi="300" verticalDpi="300"/>
  <rowBreaks count="1" manualBreakCount="1">
    <brk id="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12"/>
  <sheetViews>
    <sheetView topLeftCell="A4" zoomScaleNormal="100" workbookViewId="0">
      <selection activeCell="D13" sqref="D13"/>
    </sheetView>
  </sheetViews>
  <sheetFormatPr baseColWidth="10" defaultColWidth="9.33203125" defaultRowHeight="15" x14ac:dyDescent="0.2"/>
  <cols>
    <col min="2" max="2" width="17.83203125" customWidth="1" collapsed="1"/>
    <col min="11" max="11" width="11.33203125" customWidth="1" collapsed="1"/>
    <col min="12" max="12" width="4.5" customWidth="1" collapsed="1"/>
  </cols>
  <sheetData>
    <row r="1" spans="1:13" ht="141" customHeight="1" x14ac:dyDescent="0.2">
      <c r="A1" s="130" t="s">
        <v>83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3" ht="24.75" customHeight="1" x14ac:dyDescent="0.2">
      <c r="A2" s="131" t="s">
        <v>1</v>
      </c>
      <c r="B2" s="131"/>
      <c r="C2" s="132" t="s">
        <v>117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13" ht="24.75" customHeight="1" x14ac:dyDescent="0.2">
      <c r="A3" s="131" t="s">
        <v>2</v>
      </c>
      <c r="B3" s="131"/>
      <c r="C3" s="132" t="s">
        <v>118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</row>
    <row r="4" spans="1:13" ht="24.75" customHeight="1" x14ac:dyDescent="0.2">
      <c r="A4" s="131" t="s">
        <v>3</v>
      </c>
      <c r="B4" s="131"/>
      <c r="C4" s="132" t="s">
        <v>119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</row>
    <row r="5" spans="1:13" ht="24.75" customHeight="1" x14ac:dyDescent="0.2">
      <c r="A5" s="131" t="s">
        <v>4</v>
      </c>
      <c r="B5" s="131"/>
      <c r="C5" s="132" t="s">
        <v>120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1:13" ht="24.75" customHeight="1" x14ac:dyDescent="0.2">
      <c r="A6" s="131" t="s">
        <v>5</v>
      </c>
      <c r="B6" s="131"/>
      <c r="C6" s="132" t="s">
        <v>121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</row>
    <row r="7" spans="1:13" ht="24.75" customHeight="1" x14ac:dyDescent="0.2">
      <c r="A7" s="131" t="s">
        <v>6</v>
      </c>
      <c r="B7" s="131"/>
      <c r="C7" s="132" t="s">
        <v>122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</row>
    <row r="8" spans="1:13" ht="8.75" customHeight="1" x14ac:dyDescent="0.2">
      <c r="A8" s="91"/>
      <c r="B8" s="92"/>
      <c r="C8" s="92"/>
      <c r="D8" s="92"/>
      <c r="E8" s="92"/>
      <c r="F8" s="93"/>
      <c r="G8" s="94"/>
      <c r="H8" s="95"/>
      <c r="I8" s="95"/>
      <c r="J8" s="95"/>
      <c r="K8" s="95"/>
      <c r="L8" s="95"/>
      <c r="M8" s="96"/>
    </row>
    <row r="9" spans="1:13" ht="26" customHeight="1" x14ac:dyDescent="0.2">
      <c r="A9" s="133" t="s">
        <v>84</v>
      </c>
      <c r="B9" s="133"/>
      <c r="C9" s="133"/>
      <c r="D9" s="133"/>
      <c r="E9" s="133"/>
      <c r="F9" s="133"/>
      <c r="G9" s="134" t="s">
        <v>85</v>
      </c>
      <c r="H9" s="134"/>
      <c r="I9" s="134"/>
      <c r="J9" s="134"/>
      <c r="K9" s="134"/>
      <c r="L9" s="134"/>
      <c r="M9" s="134"/>
    </row>
    <row r="10" spans="1:13" ht="69.75" customHeight="1" x14ac:dyDescent="0.2">
      <c r="A10" s="135" t="s">
        <v>86</v>
      </c>
      <c r="B10" s="135"/>
      <c r="C10" s="135"/>
      <c r="D10" s="135"/>
      <c r="E10" s="135"/>
      <c r="F10" s="135"/>
      <c r="G10" s="136" t="s">
        <v>87</v>
      </c>
      <c r="H10" s="136"/>
      <c r="I10" s="136"/>
      <c r="J10" s="136"/>
      <c r="K10" s="136"/>
      <c r="L10" s="136"/>
      <c r="M10" s="136"/>
    </row>
    <row r="11" spans="1:13" ht="69.75" customHeight="1" x14ac:dyDescent="0.2">
      <c r="A11" s="135" t="s">
        <v>14</v>
      </c>
      <c r="B11" s="135"/>
      <c r="C11" s="135"/>
      <c r="D11" s="135" t="s">
        <v>15</v>
      </c>
      <c r="E11" s="135"/>
      <c r="F11" s="135"/>
      <c r="G11" s="136" t="s">
        <v>14</v>
      </c>
      <c r="H11" s="136"/>
      <c r="I11" s="136"/>
      <c r="J11" s="136" t="s">
        <v>15</v>
      </c>
      <c r="K11" s="136"/>
      <c r="L11" s="136"/>
      <c r="M11" s="136"/>
    </row>
    <row r="12" spans="1:13" ht="26" customHeight="1" x14ac:dyDescent="0.2">
      <c r="A12" s="137">
        <v>30</v>
      </c>
      <c r="B12" s="137"/>
      <c r="C12" s="137"/>
      <c r="D12" s="137">
        <v>0</v>
      </c>
      <c r="E12" s="137"/>
      <c r="F12" s="137"/>
      <c r="G12" s="138">
        <v>20</v>
      </c>
      <c r="H12" s="138"/>
      <c r="I12" s="138"/>
      <c r="J12" s="138">
        <v>0</v>
      </c>
      <c r="K12" s="138"/>
      <c r="L12" s="138"/>
      <c r="M12" s="138"/>
    </row>
  </sheetData>
  <mergeCells count="25">
    <mergeCell ref="A11:C11"/>
    <mergeCell ref="D11:F11"/>
    <mergeCell ref="G11:I11"/>
    <mergeCell ref="J11:M11"/>
    <mergeCell ref="A12:C12"/>
    <mergeCell ref="D12:F12"/>
    <mergeCell ref="G12:I12"/>
    <mergeCell ref="J12:M12"/>
    <mergeCell ref="A7:B7"/>
    <mergeCell ref="C7:M7"/>
    <mergeCell ref="A9:F9"/>
    <mergeCell ref="G9:M9"/>
    <mergeCell ref="A10:F10"/>
    <mergeCell ref="G10:M10"/>
    <mergeCell ref="A4:B4"/>
    <mergeCell ref="C4:M4"/>
    <mergeCell ref="A5:B5"/>
    <mergeCell ref="C5:M5"/>
    <mergeCell ref="A6:B6"/>
    <mergeCell ref="C6:M6"/>
    <mergeCell ref="A1:M1"/>
    <mergeCell ref="A2:B2"/>
    <mergeCell ref="C2:M2"/>
    <mergeCell ref="A3:B3"/>
    <mergeCell ref="C3:M3"/>
  </mergeCells>
  <conditionalFormatting sqref="D12:F12">
    <cfRule type="cellIs" dxfId="5" priority="2" operator="lessThan">
      <formula>$A$12</formula>
    </cfRule>
    <cfRule type="cellIs" dxfId="4" priority="3" operator="greaterThanOrEqual">
      <formula>$A$12</formula>
    </cfRule>
  </conditionalFormatting>
  <conditionalFormatting sqref="J12:M12">
    <cfRule type="cellIs" dxfId="3" priority="4" operator="lessThan">
      <formula>$G$12</formula>
    </cfRule>
    <cfRule type="cellIs" dxfId="2" priority="5" operator="greaterThanOrEqual">
      <formula>$G$12</formula>
    </cfRule>
  </conditionalFormatting>
  <printOptions horizontalCentered="1" verticalCentered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EAAAA"/>
  </sheetPr>
  <dimension ref="A1:E33"/>
  <sheetViews>
    <sheetView tabSelected="1" zoomScaleNormal="100" workbookViewId="0">
      <selection activeCell="D10" sqref="D10"/>
    </sheetView>
  </sheetViews>
  <sheetFormatPr baseColWidth="10" defaultColWidth="8.6640625" defaultRowHeight="15" x14ac:dyDescent="0.2"/>
  <cols>
    <col min="1" max="1" width="16.6640625" customWidth="1" collapsed="1"/>
    <col min="2" max="2" width="15.6640625" customWidth="1" collapsed="1"/>
    <col min="3" max="3" width="28.6640625" customWidth="1" collapsed="1"/>
    <col min="4" max="4" width="21.5" customWidth="1" collapsed="1"/>
    <col min="5" max="5" width="24.1640625" customWidth="1" collapsed="1"/>
  </cols>
  <sheetData>
    <row r="1" spans="1:5" ht="60" customHeight="1" x14ac:dyDescent="0.35">
      <c r="A1" s="139" t="s">
        <v>88</v>
      </c>
      <c r="B1" s="139"/>
      <c r="C1" s="139"/>
      <c r="D1" s="139"/>
      <c r="E1" s="139"/>
    </row>
    <row r="2" spans="1:5" ht="24.75" customHeight="1" x14ac:dyDescent="0.2">
      <c r="A2" s="140" t="s">
        <v>1</v>
      </c>
      <c r="B2" s="140"/>
      <c r="C2" s="141" t="s">
        <v>117</v>
      </c>
      <c r="D2" s="141"/>
      <c r="E2" s="141"/>
    </row>
    <row r="3" spans="1:5" ht="24.75" customHeight="1" x14ac:dyDescent="0.2">
      <c r="A3" s="140" t="s">
        <v>2</v>
      </c>
      <c r="B3" s="140"/>
      <c r="C3" s="141" t="s">
        <v>118</v>
      </c>
      <c r="D3" s="141"/>
      <c r="E3" s="141"/>
    </row>
    <row r="4" spans="1:5" ht="24.75" customHeight="1" x14ac:dyDescent="0.2">
      <c r="A4" s="140" t="s">
        <v>3</v>
      </c>
      <c r="B4" s="140"/>
      <c r="C4" s="141" t="s">
        <v>119</v>
      </c>
      <c r="D4" s="141"/>
      <c r="E4" s="141"/>
    </row>
    <row r="5" spans="1:5" ht="24.75" customHeight="1" x14ac:dyDescent="0.2">
      <c r="A5" s="140" t="s">
        <v>4</v>
      </c>
      <c r="B5" s="140"/>
      <c r="C5" s="141" t="s">
        <v>120</v>
      </c>
      <c r="D5" s="141"/>
      <c r="E5" s="141"/>
    </row>
    <row r="6" spans="1:5" ht="24.75" customHeight="1" x14ac:dyDescent="0.2">
      <c r="A6" s="140" t="s">
        <v>5</v>
      </c>
      <c r="B6" s="140"/>
      <c r="C6" s="141" t="s">
        <v>121</v>
      </c>
      <c r="D6" s="141"/>
      <c r="E6" s="141"/>
    </row>
    <row r="7" spans="1:5" ht="24.75" customHeight="1" x14ac:dyDescent="0.2">
      <c r="A7" s="140" t="s">
        <v>89</v>
      </c>
      <c r="B7" s="140"/>
      <c r="C7" s="141" t="s">
        <v>122</v>
      </c>
      <c r="D7" s="141"/>
      <c r="E7" s="141"/>
    </row>
    <row r="8" spans="1:5" ht="46.5" customHeight="1" x14ac:dyDescent="0.2">
      <c r="A8" s="142" t="s">
        <v>90</v>
      </c>
      <c r="B8" s="142"/>
      <c r="C8" s="142"/>
      <c r="D8" s="97" t="s">
        <v>91</v>
      </c>
      <c r="E8" s="98" t="s">
        <v>15</v>
      </c>
    </row>
    <row r="9" spans="1:5" ht="17.25" customHeight="1" x14ac:dyDescent="0.2">
      <c r="A9" s="143" t="s">
        <v>92</v>
      </c>
      <c r="B9" s="143"/>
      <c r="C9" s="143"/>
      <c r="D9" s="99">
        <v>1</v>
      </c>
      <c r="E9" s="100">
        <v>1</v>
      </c>
    </row>
    <row r="10" spans="1:5" ht="17.25" customHeight="1" x14ac:dyDescent="0.2">
      <c r="A10" s="143" t="s">
        <v>93</v>
      </c>
      <c r="B10" s="143"/>
      <c r="C10" s="143"/>
      <c r="D10" s="99">
        <v>1</v>
      </c>
      <c r="E10" s="100">
        <v>2</v>
      </c>
    </row>
    <row r="11" spans="1:5" ht="18" customHeight="1" x14ac:dyDescent="0.2">
      <c r="A11" s="143" t="s">
        <v>94</v>
      </c>
      <c r="B11" s="143"/>
      <c r="C11" s="143"/>
      <c r="D11" s="99">
        <v>1</v>
      </c>
      <c r="E11" s="100">
        <v>2</v>
      </c>
    </row>
    <row r="12" spans="1:5" ht="17.25" customHeight="1" x14ac:dyDescent="0.2">
      <c r="A12" s="143" t="s">
        <v>95</v>
      </c>
      <c r="B12" s="143"/>
      <c r="C12" s="143"/>
      <c r="D12" s="99">
        <v>1</v>
      </c>
      <c r="E12" s="100">
        <v>2</v>
      </c>
    </row>
    <row r="13" spans="1:5" ht="19.5" customHeight="1" x14ac:dyDescent="0.2">
      <c r="A13" s="143" t="s">
        <v>96</v>
      </c>
      <c r="B13" s="143"/>
      <c r="C13" s="143"/>
      <c r="D13" s="99">
        <v>1</v>
      </c>
      <c r="E13" s="100">
        <v>1</v>
      </c>
    </row>
    <row r="14" spans="1:5" ht="17.25" customHeight="1" x14ac:dyDescent="0.2">
      <c r="A14" s="143" t="s">
        <v>97</v>
      </c>
      <c r="B14" s="143"/>
      <c r="C14" s="143"/>
      <c r="D14" s="99">
        <v>1</v>
      </c>
      <c r="E14" s="100">
        <v>1</v>
      </c>
    </row>
    <row r="15" spans="1:5" ht="17.25" customHeight="1" x14ac:dyDescent="0.2">
      <c r="A15" s="143" t="s">
        <v>98</v>
      </c>
      <c r="B15" s="143"/>
      <c r="C15" s="143"/>
      <c r="D15" s="99">
        <v>1</v>
      </c>
      <c r="E15" s="100">
        <v>1</v>
      </c>
    </row>
    <row r="16" spans="1:5" ht="17.25" customHeight="1" x14ac:dyDescent="0.2">
      <c r="A16" s="143" t="s">
        <v>99</v>
      </c>
      <c r="B16" s="143"/>
      <c r="C16" s="143"/>
      <c r="D16" s="99">
        <v>1</v>
      </c>
      <c r="E16" s="100">
        <v>4</v>
      </c>
    </row>
    <row r="17" spans="1:5" ht="16.5" customHeight="1" x14ac:dyDescent="0.2">
      <c r="A17" s="143" t="s">
        <v>100</v>
      </c>
      <c r="B17" s="143"/>
      <c r="C17" s="143"/>
      <c r="D17" s="99">
        <v>1</v>
      </c>
      <c r="E17" s="100">
        <v>1</v>
      </c>
    </row>
    <row r="18" spans="1:5" ht="17.25" customHeight="1" x14ac:dyDescent="0.2">
      <c r="A18" s="143" t="s">
        <v>101</v>
      </c>
      <c r="B18" s="143"/>
      <c r="C18" s="143"/>
      <c r="D18" s="99">
        <v>1</v>
      </c>
      <c r="E18" s="100">
        <v>1</v>
      </c>
    </row>
    <row r="19" spans="1:5" ht="18" customHeight="1" x14ac:dyDescent="0.2">
      <c r="A19" s="143" t="s">
        <v>102</v>
      </c>
      <c r="B19" s="143"/>
      <c r="C19" s="143"/>
      <c r="D19" s="99">
        <v>1</v>
      </c>
      <c r="E19" s="100">
        <v>2</v>
      </c>
    </row>
    <row r="20" spans="1:5" ht="18.75" customHeight="1" x14ac:dyDescent="0.2">
      <c r="A20" s="143" t="s">
        <v>103</v>
      </c>
      <c r="B20" s="143"/>
      <c r="C20" s="143"/>
      <c r="D20" s="99">
        <v>1</v>
      </c>
      <c r="E20" s="100">
        <v>1</v>
      </c>
    </row>
    <row r="21" spans="1:5" ht="18.75" customHeight="1" x14ac:dyDescent="0.2">
      <c r="A21" s="143" t="s">
        <v>104</v>
      </c>
      <c r="B21" s="143"/>
      <c r="C21" s="143"/>
      <c r="D21" s="99">
        <v>1</v>
      </c>
      <c r="E21" s="100">
        <v>2</v>
      </c>
    </row>
    <row r="22" spans="1:5" ht="18" customHeight="1" x14ac:dyDescent="0.2">
      <c r="A22" s="143" t="s">
        <v>105</v>
      </c>
      <c r="B22" s="143"/>
      <c r="C22" s="143"/>
      <c r="D22" s="99">
        <v>1</v>
      </c>
      <c r="E22" s="100">
        <v>1</v>
      </c>
    </row>
    <row r="23" spans="1:5" ht="17.25" customHeight="1" x14ac:dyDescent="0.2">
      <c r="A23" s="143" t="s">
        <v>106</v>
      </c>
      <c r="B23" s="143"/>
      <c r="C23" s="143"/>
      <c r="D23" s="99">
        <v>1</v>
      </c>
      <c r="E23" s="100">
        <v>2</v>
      </c>
    </row>
    <row r="24" spans="1:5" ht="17.25" customHeight="1" x14ac:dyDescent="0.2">
      <c r="A24" s="143" t="s">
        <v>107</v>
      </c>
      <c r="B24" s="143"/>
      <c r="C24" s="143"/>
      <c r="D24" s="99">
        <v>1</v>
      </c>
      <c r="E24" s="100">
        <v>1</v>
      </c>
    </row>
    <row r="25" spans="1:5" ht="18" customHeight="1" x14ac:dyDescent="0.2">
      <c r="A25" s="143" t="s">
        <v>108</v>
      </c>
      <c r="B25" s="143"/>
      <c r="C25" s="143"/>
      <c r="D25" s="99">
        <v>1</v>
      </c>
      <c r="E25" s="100">
        <v>1</v>
      </c>
    </row>
    <row r="26" spans="1:5" ht="18" customHeight="1" x14ac:dyDescent="0.2">
      <c r="A26" s="143" t="s">
        <v>109</v>
      </c>
      <c r="B26" s="143"/>
      <c r="C26" s="143"/>
      <c r="D26" s="99">
        <v>1</v>
      </c>
      <c r="E26" s="100">
        <v>1</v>
      </c>
    </row>
    <row r="27" spans="1:5" ht="17.25" customHeight="1" x14ac:dyDescent="0.2">
      <c r="A27" s="143" t="s">
        <v>110</v>
      </c>
      <c r="B27" s="143"/>
      <c r="C27" s="143"/>
      <c r="D27" s="99">
        <v>1</v>
      </c>
      <c r="E27" s="100">
        <v>1</v>
      </c>
    </row>
    <row r="28" spans="1:5" ht="18" customHeight="1" x14ac:dyDescent="0.2">
      <c r="A28" s="143" t="s">
        <v>111</v>
      </c>
      <c r="B28" s="143"/>
      <c r="C28" s="143"/>
      <c r="D28" s="99">
        <v>1</v>
      </c>
      <c r="E28" s="100">
        <v>1</v>
      </c>
    </row>
    <row r="29" spans="1:5" ht="18" customHeight="1" x14ac:dyDescent="0.2">
      <c r="A29" s="143" t="s">
        <v>112</v>
      </c>
      <c r="B29" s="143"/>
      <c r="C29" s="143"/>
      <c r="D29" s="99">
        <v>1</v>
      </c>
      <c r="E29" s="100">
        <v>4</v>
      </c>
    </row>
    <row r="30" spans="1:5" ht="19.5" customHeight="1" x14ac:dyDescent="0.2">
      <c r="A30" s="143" t="s">
        <v>113</v>
      </c>
      <c r="B30" s="143"/>
      <c r="C30" s="143"/>
      <c r="D30" s="99">
        <v>1</v>
      </c>
      <c r="E30" s="100">
        <v>2</v>
      </c>
    </row>
    <row r="31" spans="1:5" ht="18" customHeight="1" x14ac:dyDescent="0.2">
      <c r="A31" s="143" t="s">
        <v>114</v>
      </c>
      <c r="B31" s="143"/>
      <c r="C31" s="143"/>
      <c r="D31" s="99">
        <v>1</v>
      </c>
      <c r="E31" s="100">
        <v>1</v>
      </c>
    </row>
    <row r="32" spans="1:5" ht="19.5" customHeight="1" x14ac:dyDescent="0.2">
      <c r="A32" s="144" t="s">
        <v>115</v>
      </c>
      <c r="B32" s="144"/>
      <c r="C32" s="144"/>
      <c r="D32" s="99">
        <v>1</v>
      </c>
      <c r="E32" s="100">
        <v>1</v>
      </c>
    </row>
    <row r="33" spans="1:5" ht="19.5" customHeight="1" x14ac:dyDescent="0.2">
      <c r="A33" s="145" t="s">
        <v>116</v>
      </c>
      <c r="B33" s="145"/>
      <c r="C33" s="145"/>
      <c r="D33" s="99">
        <v>1</v>
      </c>
      <c r="E33" s="100">
        <v>1</v>
      </c>
    </row>
  </sheetData>
  <mergeCells count="39">
    <mergeCell ref="A31:C31"/>
    <mergeCell ref="A32:C32"/>
    <mergeCell ref="A33:C33"/>
    <mergeCell ref="A26:C26"/>
    <mergeCell ref="A27:C27"/>
    <mergeCell ref="A28:C28"/>
    <mergeCell ref="A29:C29"/>
    <mergeCell ref="A30:C30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7:B7"/>
    <mergeCell ref="C7:E7"/>
    <mergeCell ref="A8:C8"/>
    <mergeCell ref="A9:C9"/>
    <mergeCell ref="A10:C10"/>
    <mergeCell ref="A4:B4"/>
    <mergeCell ref="C4:E4"/>
    <mergeCell ref="A5:B5"/>
    <mergeCell ref="C5:E5"/>
    <mergeCell ref="A6:B6"/>
    <mergeCell ref="C6:E6"/>
    <mergeCell ref="A1:E1"/>
    <mergeCell ref="A2:B2"/>
    <mergeCell ref="C2:E2"/>
    <mergeCell ref="A3:B3"/>
    <mergeCell ref="C3:E3"/>
  </mergeCells>
  <conditionalFormatting sqref="E9:E33">
    <cfRule type="expression" dxfId="1" priority="2">
      <formula>$E9&lt;$D9</formula>
    </cfRule>
    <cfRule type="expression" dxfId="0" priority="3">
      <formula>$E9&gt;=$D9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 Table 1</vt:lpstr>
      <vt:lpstr>Condition Table 2</vt:lpstr>
      <vt:lpstr>Skills Table 3</vt:lpstr>
      <vt:lpstr>Field Exp-Capstone Table 4</vt:lpstr>
      <vt:lpstr>EMT Skills 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Collard</dc:creator>
  <cp:lastModifiedBy>Trenton Cadena</cp:lastModifiedBy>
  <cp:revision>2</cp:revision>
  <dcterms:created xsi:type="dcterms:W3CDTF">2021-08-07T18:43:23Z</dcterms:created>
  <dcterms:modified xsi:type="dcterms:W3CDTF">2025-12-01T11:38:44Z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